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0c6773a6f54d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eceddd1dc0fa46f0"/>
    <x:sheet xmlns:r="http://schemas.openxmlformats.org/officeDocument/2006/relationships" name="Supuestos" sheetId="2" r:id="R59fa16ba636f4e22"/>
    <x:sheet xmlns:r="http://schemas.openxmlformats.org/officeDocument/2006/relationships" name="Modelos" sheetId="3" r:id="R9bb8bb921d71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;(0.0%);&quot;—&quot;"/>
    <x:numFmt numFmtId="202" formatCode="#,##0;(#,##0);&quot;—&quot;"/>
    <x:numFmt numFmtId="203" formatCode="&quot;$ &quot;#,##0;(&quot;$ &quot;#,##0);&quot;—&quot;"/>
  </x:numFmts>
  <x:fonts count="13">
    <x:font>
      <x:sz val="11"/>
      <x:name val="Carlito"/>
    </x:font>
    <x:font>
      <x:sz val="10"/>
      <x:color rgb="FF352C33"/>
      <x:name val="Arial"/>
    </x:font>
    <x:font>
      <x:b/>
      <x:sz val="15"/>
      <x:color rgb="FF352C33"/>
      <x:name val="Arial"/>
    </x:font>
    <x:font>
      <x:i/>
      <x:sz val="10"/>
      <x:color rgb="FF746B71"/>
      <x:name val="Arial"/>
    </x:font>
    <x:font>
      <x:sz val="10"/>
      <x:color rgb="FF2463A6"/>
      <x:name val="Arial"/>
    </x:font>
    <x:font>
      <x:b/>
      <x:sz val="10"/>
      <x:color rgb="FFFFFFFF"/>
      <x:name val="Arial"/>
    </x:font>
    <x:font>
      <x:i/>
      <x:sz val="10"/>
      <x:color rgb="FF352C33"/>
      <x:name val="Arial"/>
    </x:font>
    <x:font>
      <x:i/>
      <x:sz val="10"/>
      <x:color rgb="FF2463A6"/>
      <x:name val="Arial"/>
    </x:font>
    <x:font>
      <x:sz val="10"/>
      <x:color rgb="FF287449"/>
      <x:name val="Arial"/>
    </x:font>
    <x:font>
      <x:sz val="10"/>
      <x:color rgb="FF000000"/>
      <x:name val="Arial"/>
    </x:font>
    <x:font>
      <x:b/>
      <x:sz val="10"/>
      <x:color rgb="FF352C33"/>
      <x:name val="Arial"/>
    </x:font>
    <x:font>
      <x:b/>
      <x:sz val="10"/>
      <x:color rgb="FF000000"/>
      <x:name val="Arial"/>
    </x:font>
    <x:font>
      <x:sz val="11"/>
      <x:color rgb="FF2463A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B"/>
      </x:patternFill>
    </x:fill>
    <x:fill>
      <x:patternFill patternType="solid">
        <x:fgColor rgb="FFA24C71"/>
      </x:patternFill>
    </x:fill>
    <x:fill>
      <x:patternFill patternType="solid">
        <x:fgColor rgb="FFF5DDE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A24C71"/>
      </x:bottom>
      <x:diagonal/>
    </x:border>
    <x:border>
      <x:left/>
      <x:right/>
      <x:top style="thin">
        <x:color rgb="FFD4A7B8"/>
      </x:top>
      <x:bottom/>
      <x:diagonal/>
    </x:border>
  </x:borders>
  <x:cellStyleXfs count="1">
    <x:xf numFmtId="0" fontId="0" fillId="0" borderId="0"/>
  </x:cellStyleXfs>
  <x:cellXfs count="4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vertical="center"/>
    </x:xf>
    <x:xf numFmtId="201" fontId="4" fillId="2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1" fontId="7" fillId="2" borderId="0" xfId="0" applyNumberFormat="1" applyFont="1" applyFill="1" applyBorder="1" applyAlignment="1">
      <x:alignment vertical="center"/>
    </x:xf>
    <x:xf numFmtId="202" fontId="4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1" fontId="9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2" fontId="9" fillId="4" borderId="0" xfId="0" applyNumberFormat="1" applyFont="1" applyFill="1" applyBorder="1" applyAlignment="1">
      <x:alignment vertical="center"/>
    </x:xf>
    <x:xf numFmtId="201" fontId="9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202" fontId="11" fillId="4" borderId="0" xfId="0" applyNumberFormat="1" applyFont="1" applyFill="1" applyBorder="1" applyAlignment="1">
      <x:alignment vertical="center"/>
    </x:xf>
    <x:xf numFmtId="201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0" fillId="4" borderId="2" xfId="0" applyNumberFormat="1" applyFont="1" applyFill="1" applyBorder="1" applyAlignment="1">
      <x:alignment vertical="center"/>
    </x:xf>
    <x:xf numFmtId="202" fontId="11" fillId="4" borderId="2" xfId="0" applyNumberFormat="1" applyFont="1" applyFill="1" applyBorder="1" applyAlignment="1">
      <x:alignment vertical="center"/>
    </x:xf>
    <x:xf numFmtId="201" fontId="11" fillId="4" borderId="2" xfId="0" applyNumberFormat="1" applyFont="1" applyFill="1" applyBorder="1" applyAlignment="1">
      <x:alignment vertical="center"/>
    </x:xf>
    <x:xf numFmtId="0" fontId="11" fillId="4" borderId="2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12" fillId="2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203" fontId="10" fillId="4" borderId="0" xfId="0" applyNumberFormat="1" applyFont="1" applyFill="1" applyBorder="1" applyAlignment="1">
      <x:alignment vertical="center"/>
    </x:xf>
    <x:xf numFmtId="203" fontId="10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a72e2a07b84d7c" /><Relationship Type="http://schemas.openxmlformats.org/officeDocument/2006/relationships/theme" Target="/xl/theme/theme1.xml" Id="R93c236ca33eb419d" /><Relationship Type="http://schemas.openxmlformats.org/officeDocument/2006/relationships/sharedStrings" Target="/xl/sharedStrings.xml" Id="R1d1c27e62b7a4c73" /><Relationship Type="http://schemas.openxmlformats.org/officeDocument/2006/relationships/worksheet" Target="/xl/worksheets/sheet1.xml" Id="Receddd1dc0fa46f0" /><Relationship Type="http://schemas.openxmlformats.org/officeDocument/2006/relationships/worksheet" Target="/xl/worksheets/sheet2.xml" Id="R59fa16ba636f4e22" /><Relationship Type="http://schemas.openxmlformats.org/officeDocument/2006/relationships/worksheet" Target="/xl/worksheets/sheet3.xml" Id="R9bb8bb921d714a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A24C71"/>
  </x:sheetPr>
  <x:sheetViews>
    <x:sheetView showGridLines="0" workbookViewId="0"/>
  </x:sheetViews>
  <x:sheetFormatPr defaultRowHeight="15"/>
  <x:cols>
    <x:col min="1" max="1" width="34" hidden="0" customWidth="1"/>
    <x:col min="2" max="2" width="23" hidden="0" customWidth="1"/>
    <x:col min="3" max="3" width="3" hidden="0" customWidth="1"/>
    <x:col min="4" max="4" width="36" hidden="0" customWidth="1"/>
    <x:col min="5" max="5" width="23" hidden="0" customWidth="1"/>
    <x:col min="6" max="6" width="3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4" customHeight="1">
      <x:c r="A2" s="3" t="str">
        <x:v>Canal mayorista multimarcas</x:v>
      </x:c>
      <x:c r="B2" s="2"/>
      <x:c r="C2" s="2"/>
      <x:c r="D2" s="2"/>
      <x:c r="E2" s="2"/>
      <x:c r="F2" s="2"/>
    </x:row>
    <x:row r="3" ht="24" customHeight="1">
      <x:c r="A3" s="5" t="str">
        <x:v>Marca Demo. Evaluación ficticia de la colección T27 en ARS.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 t="str">
        <x:v>Escenario seleccionado</x:v>
      </x:c>
      <x:c r="B5" s="18" t="str">
        <x:f>'Supuestos'!B40</x:f>
        <x:v>Base demo</x:v>
      </x:c>
      <x:c r="C5" s="2"/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24" customHeight="1">
      <x:c r="A7" s="33" t="str">
        <x:v>Resultado de la evaluación</x:v>
      </x:c>
      <x:c r="B7" s="43" t="n">
        <x:f>E18-E25</x:f>
        <x:v>5797124.285714286</x:v>
      </x:c>
      <x:c r="C7" s="2"/>
      <x:c r="D7" s="2"/>
      <x:c r="E7" s="2"/>
      <x:c r="F7" s="2"/>
    </x:row>
    <x:row r="8" ht="24" customHeight="1">
      <x:c r="A8" s="29" t="str">
        <x:v>Resultado por mes</x:v>
      </x:c>
      <x:c r="B8" s="42" t="n">
        <x:f>B7/B22</x:f>
        <x:v>1159424.8571428573</x:v>
      </x:c>
      <x:c r="C8" s="2"/>
      <x:c r="D8" s="2"/>
      <x:c r="E8" s="2"/>
      <x:c r="F8" s="2"/>
    </x:row>
    <x:row r="9" ht="24" customHeight="1">
      <x:c r="A9" s="29" t="str">
        <x:v>Capital en inventario</x:v>
      </x:c>
      <x:c r="B9" s="42" t="n">
        <x:f>B16*'Modelos'!D17+E21</x:f>
        <x:v>6080890.5882352935</x:v>
      </x:c>
      <x:c r="C9" s="2"/>
      <x:c r="D9" s="2"/>
      <x:c r="E9" s="2"/>
      <x:c r="F9" s="2"/>
    </x:row>
    <x:row r="10" ht="24" customHeight="1">
      <x:c r="A10" s="2"/>
      <x:c r="B10" s="2"/>
      <x:c r="C10" s="2"/>
      <x:c r="D10" s="2"/>
      <x:c r="E10" s="2"/>
      <x:c r="F10" s="2"/>
    </x:row>
    <x:row r="11" ht="44" customHeight="1">
      <x:c r="A11" s="12" t="str">
        <x:v>Volumen y operación</x:v>
      </x:c>
      <x:c r="B11" s="12" t="str">
        <x:v>Valor</x:v>
      </x:c>
      <x:c r="C11" s="2"/>
      <x:c r="D11" s="12" t="str">
        <x:v>Resultado del período</x:v>
      </x:c>
      <x:c r="E11" s="12" t="str">
        <x:v>ARS</x:v>
      </x:c>
      <x:c r="F11" s="2"/>
    </x:row>
    <x:row r="12" ht="24" customHeight="1">
      <x:c r="A12" s="2" t="str">
        <x:v>Modalidad</x:v>
      </x:c>
      <x:c r="B12" s="2" t="str">
        <x:f>'Supuestos'!C40</x:f>
        <x:v>Compra en firme</x:v>
      </x:c>
      <x:c r="C12" s="2"/>
      <x:c r="D12" s="2" t="str">
        <x:v>Facturación</x:v>
      </x:c>
      <x:c r="E12" s="39" t="n">
        <x:f>B17*B19</x:f>
        <x:v>13369915.966386555</x:v>
      </x:c>
      <x:c r="F12" s="2"/>
    </x:row>
    <x:row r="13" ht="24" customHeight="1">
      <x:c r="A13" s="2" t="str">
        <x:v>Tiendas</x:v>
      </x:c>
      <x:c r="B13" s="20" t="n">
        <x:f>'Supuestos'!D40</x:f>
        <x:v>6</x:v>
      </x:c>
      <x:c r="C13" s="2"/>
      <x:c r="D13" s="2" t="str">
        <x:v>Costo de fábrica</x:v>
      </x:c>
      <x:c r="E13" s="39" t="n">
        <x:f>B17*'Modelos'!D17</x:f>
        <x:v>5970328.94117647</x:v>
      </x:c>
      <x:c r="F13" s="2"/>
    </x:row>
    <x:row r="14" ht="24" customHeight="1">
      <x:c r="A14" s="2" t="str">
        <x:v>Prendas por tienda</x:v>
      </x:c>
      <x:c r="B14" s="20" t="n">
        <x:f>'Supuestos'!E40</x:f>
        <x:v>18</x:v>
      </x:c>
      <x:c r="C14" s="2"/>
      <x:c r="D14" s="2" t="str">
        <x:v>Logística</x:v>
      </x:c>
      <x:c r="E14" s="39" t="n">
        <x:f>B16*'Supuestos'!$C$13+IF(B12="Consignación",B18*'Supuestos'!$C$13,0)</x:f>
        <x:v>205200</x:v>
      </x:c>
      <x:c r="F14" s="2"/>
    </x:row>
    <x:row r="15" ht="24" customHeight="1">
      <x:c r="A15" s="2" t="str">
        <x:v>Proporción vendida</x:v>
      </x:c>
      <x:c r="B15" s="24" t="n">
        <x:f>IF(B12="Consignación",'Supuestos'!F40,1)</x:f>
        <x:v>1</x:v>
      </x:c>
      <x:c r="C15" s="2"/>
      <x:c r="D15" s="2" t="str">
        <x:v>Financiación</x:v>
      </x:c>
      <x:c r="E15" s="39" t="n">
        <x:f>E12*'Supuestos'!$C$14*IF(B12="Consignación",'Supuestos'!$C$18,'Supuestos'!$C$15)/30</x:f>
        <x:v>421152.3529411765</x:v>
      </x:c>
      <x:c r="F15" s="2"/>
    </x:row>
    <x:row r="16" ht="24" customHeight="1">
      <x:c r="A16" s="2" t="str">
        <x:v>Prendas entregadas</x:v>
      </x:c>
      <x:c r="B16" s="20" t="n">
        <x:f>B13*B14</x:f>
        <x:v>108</x:v>
      </x:c>
      <x:c r="C16" s="2"/>
      <x:c r="D16" s="2" t="str">
        <x:v>Fallas o deterioro</x:v>
      </x:c>
      <x:c r="E16" s="39" t="n">
        <x:f>IF(B12="Consignación",B18*'Supuestos'!$C$19*'Modelos'!D17,E12*'Supuestos'!$C$16)</x:f>
        <x:v>200548.7394957983</x:v>
      </x:c>
      <x:c r="F16" s="2"/>
    </x:row>
    <x:row r="17" ht="24" customHeight="1">
      <x:c r="A17" s="2" t="str">
        <x:v>Prendas cobradas</x:v>
      </x:c>
      <x:c r="B17" s="20" t="n">
        <x:f>ROUND(B16*B15,0)</x:f>
        <x:v>108</x:v>
      </x:c>
      <x:c r="C17" s="2"/>
      <x:c r="D17" s="2" t="str">
        <x:v>Comisión del agente</x:v>
      </x:c>
      <x:c r="E17" s="39" t="n">
        <x:f>'Supuestos'!C42*E12*'Supuestos'!$C$20</x:f>
        <x:v>0</x:v>
      </x:c>
      <x:c r="F17" s="2"/>
    </x:row>
    <x:row r="18" ht="24" customHeight="1">
      <x:c r="A18" s="2" t="str">
        <x:v>Prendas devueltas</x:v>
      </x:c>
      <x:c r="B18" s="20" t="n">
        <x:f>B16-B17</x:f>
        <x:v>0</x:v>
      </x:c>
      <x:c r="C18" s="2"/>
      <x:c r="D18" s="33" t="str">
        <x:v>Contribución</x:v>
      </x:c>
      <x:c r="E18" s="43" t="n">
        <x:f>E12-SUM(E13:E17)</x:f>
        <x:v>6572685.9327731095</x:v>
      </x:c>
      <x:c r="F18" s="2"/>
    </x:row>
    <x:row r="19" ht="24" customHeight="1">
      <x:c r="A19" s="2" t="str">
        <x:v>Precio por prenda</x:v>
      </x:c>
      <x:c r="B19" s="39" t="n">
        <x:f>IF(B12="Consignación",'Modelos'!C17*(1-'Supuestos'!$C$17),'Modelos'!F17)</x:f>
        <x:v>123795.51820728292</x:v>
      </x:c>
      <x:c r="C19" s="2"/>
      <x:c r="D19" s="2"/>
      <x:c r="E19" s="39"/>
      <x:c r="F19" s="2"/>
    </x:row>
    <x:row r="20" ht="24" customHeight="1">
      <x:c r="A20" s="2"/>
      <x:c r="B20" s="2"/>
      <x:c r="C20" s="2"/>
      <x:c r="D20" s="2"/>
      <x:c r="E20" s="39"/>
      <x:c r="F20" s="2"/>
    </x:row>
    <x:row r="21" ht="24" customHeight="1">
      <x:c r="A21" s="2"/>
      <x:c r="B21" s="2"/>
      <x:c r="C21" s="2"/>
      <x:c r="D21" s="2" t="str">
        <x:v>Muestrario</x:v>
      </x:c>
      <x:c r="E21" s="39" t="n">
        <x:f>B25*'Modelos'!D17</x:f>
        <x:v>110561.64705882352</x:v>
      </x:c>
      <x:c r="F21" s="2"/>
    </x:row>
    <x:row r="22" ht="24" customHeight="1">
      <x:c r="A22" s="2" t="str">
        <x:v>Horizonte (meses)</x:v>
      </x:c>
      <x:c r="B22" s="40" t="n">
        <x:f>'Supuestos'!$C$24</x:f>
        <x:v>5</x:v>
      </x:c>
      <x:c r="C22" s="2"/>
      <x:c r="D22" s="2" t="str">
        <x:v>Fotos</x:v>
      </x:c>
      <x:c r="E22" s="39" t="n">
        <x:f>'Supuestos'!$C$21</x:f>
        <x:v>285000</x:v>
      </x:c>
      <x:c r="F22" s="2"/>
    </x:row>
    <x:row r="23" ht="24" customHeight="1">
      <x:c r="A23" s="2" t="str">
        <x:v>Producción por mes</x:v>
      </x:c>
      <x:c r="B23" s="40" t="n">
        <x:f>B16/B22</x:f>
        <x:v>21.6</x:v>
      </x:c>
      <x:c r="C23" s="2"/>
      <x:c r="D23" s="2" t="str">
        <x:v>Visitas comerciales</x:v>
      </x:c>
      <x:c r="E23" s="39" t="n">
        <x:f>'Supuestos'!$C$22*'Supuestos'!$C$24</x:f>
        <x:v>380000</x:v>
      </x:c>
      <x:c r="F23" s="2"/>
    </x:row>
    <x:row r="24" ht="24" customHeight="1">
      <x:c r="A24" s="2" t="str">
        <x:v>Uso de capacidad mensual</x:v>
      </x:c>
      <x:c r="B24" s="24" t="n">
        <x:f>B23/'Supuestos'!$C$29</x:f>
        <x:v>0.30000000000000004</x:v>
      </x:c>
      <x:c r="C24" s="2"/>
      <x:c r="D24" s="2" t="str">
        <x:v>Feria</x:v>
      </x:c>
      <x:c r="E24" s="39" t="n">
        <x:f>'Supuestos'!C42*'Supuestos'!$C$23</x:f>
        <x:v>0</x:v>
      </x:c>
      <x:c r="F24" s="2"/>
    </x:row>
    <x:row r="25" ht="24" customHeight="1">
      <x:c r="A25" s="2" t="str">
        <x:v>Modelos de la colección</x:v>
      </x:c>
      <x:c r="B25" s="20" t="n">
        <x:f>'Modelos'!P17</x:f>
        <x:v>2</x:v>
      </x:c>
      <x:c r="C25" s="2"/>
      <x:c r="D25" s="33" t="str">
        <x:v>Costos de lanzamiento</x:v>
      </x:c>
      <x:c r="E25" s="43" t="n">
        <x:f>SUM(E21:E24)</x:f>
        <x:v>775561.6470588235</x:v>
      </x:c>
      <x:c r="F25" s="2"/>
    </x:row>
    <x:row r="26" ht="24" customHeight="1">
      <x:c r="A26" s="2" t="str">
        <x:v>Punto de equilibrio (prendas)</x:v>
      </x:c>
      <x:c r="B26" s="20" t="n">
        <x:f>IF(AND(E18&gt;0,B17&gt;0),ROUNDUP(E25/(E18/B17),0),"n.a.")</x:f>
        <x:v>13</x:v>
      </x:c>
      <x:c r="C26" s="2"/>
      <x:c r="D26" s="2"/>
      <x:c r="E26" s="39"/>
      <x:c r="F26" s="2"/>
    </x:row>
    <x:row r="27" ht="24" customHeight="1">
      <x:c r="A27" s="2" t="str">
        <x:v>Punto de equilibrio (tiendas)</x:v>
      </x:c>
      <x:c r="B27" s="20" t="n">
        <x:f>IF(ISNUMBER(B26),ROUNDUP(B26/(B14*B15),0),"n.a.")</x:f>
        <x:v>1</x:v>
      </x:c>
      <x:c r="C27" s="2"/>
      <x:c r="D27" s="2"/>
      <x:c r="E27" s="39"/>
      <x:c r="F27" s="2"/>
    </x:row>
    <x:row r="28" ht="24" customHeight="1">
      <x:c r="A28" s="2"/>
      <x:c r="B28" s="2"/>
      <x:c r="C28" s="2"/>
      <x:c r="D28" s="2" t="str">
        <x:v>Resultado después de fijos</x:v>
      </x:c>
      <x:c r="E28" s="39" t="n">
        <x:f>B7-E12*'Supuestos'!$C$12</x:f>
        <x:v>2187246.9747899165</x:v>
      </x:c>
      <x:c r="F28" s="2"/>
    </x:row>
    <x:row r="29" ht="24" customHeight="1">
      <x:c r="A29" s="2"/>
      <x:c r="B29" s="2"/>
      <x:c r="C29" s="2"/>
      <x:c r="D29" s="2"/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8" t="str">
        <x:v>Los costos de lanzamiento incluyen muestrario, fotos, visitas y feria cuando corresponde.</x:v>
      </x:c>
      <x:c r="B31" s="2"/>
      <x:c r="C31" s="2"/>
      <x:c r="D31" s="2"/>
      <x:c r="E31" s="2"/>
      <x:c r="F31" s="2"/>
    </x:row>
    <x:row r="32" ht="24" customHeight="1">
      <x:c r="A32" s="8"/>
      <x:c r="B32" s="2"/>
      <x:c r="C32" s="2"/>
      <x:c r="D32" s="2"/>
      <x:c r="E32" s="2"/>
      <x:c r="F32" s="2"/>
    </x:row>
    <x:row r="33" ht="24" customHeight="1">
      <x:c r="A33" s="8" t="str">
        <x:v>Resultados de una evaluación comercial. No son ventas registradas.</x:v>
      </x:c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24" customHeight="1">
      <x:c r="A35" s="2"/>
      <x:c r="B35" s="2"/>
      <x:c r="C35" s="2"/>
      <x:c r="D35" s="2"/>
      <x:c r="E35" s="2"/>
      <x:c r="F35" s="2"/>
    </x:row>
    <x:row r="36" ht="24" customHeight="1">
      <x:c r="A36" s="2"/>
      <x:c r="B36" s="2"/>
      <x:c r="C36" s="2"/>
      <x:c r="D36" s="2"/>
      <x:c r="E36" s="2"/>
      <x:c r="F36" s="2"/>
    </x:row>
    <x:row r="37" ht="24" customHeight="1">
      <x:c r="A37" s="2"/>
      <x:c r="B37" s="2"/>
      <x:c r="C37" s="2"/>
      <x:c r="D37" s="2"/>
      <x:c r="E37" s="2"/>
      <x:c r="F37" s="2"/>
    </x:row>
    <x:row r="38" ht="24" customHeight="1">
      <x:c r="A38" s="2"/>
      <x:c r="B38" s="2"/>
      <x:c r="C38" s="2"/>
      <x:c r="D38" s="2"/>
      <x:c r="E38" s="2"/>
      <x:c r="F38" s="2"/>
    </x:row>
    <x:row r="39" ht="24" customHeight="1">
      <x:c r="A39" s="2"/>
      <x:c r="B39" s="2"/>
      <x:c r="C39" s="2"/>
      <x:c r="D39" s="2"/>
      <x:c r="E39" s="2"/>
      <x:c r="F3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7A6B9"/>
  </x:sheetPr>
  <x:sheetViews>
    <x:sheetView showGridLines="0" workbookViewId="0"/>
  </x:sheetViews>
  <x:sheetFormatPr defaultRowHeight="15"/>
  <x:cols>
    <x:col min="1" max="1" width="15" hidden="0" customWidth="1"/>
    <x:col min="2" max="2" width="44" hidden="0" customWidth="1"/>
    <x:col min="3" max="3" width="20" hidden="0" customWidth="1"/>
    <x:col min="4" max="4" width="14" hidden="0" customWidth="1"/>
    <x:col min="5" max="5" width="19" hidden="0" customWidth="1"/>
    <x:col min="6" max="6" width="16" hidden="0" customWidth="1"/>
  </x:cols>
  <x:sheetData>
    <x:row r="1" ht="10" customHeight="1">
      <x:c r="A1" s="2"/>
      <x:c r="B1" s="2"/>
      <x:c r="C1" s="2"/>
      <x:c r="D1" s="2"/>
      <x:c r="E1" s="2"/>
      <x:c r="F1" s="2"/>
    </x:row>
    <x:row r="2" ht="24" customHeight="1">
      <x:c r="A2" s="3" t="str">
        <x:v>Supuestos ficticios</x:v>
      </x:c>
      <x:c r="B2" s="2"/>
      <x:c r="C2" s="2"/>
      <x:c r="D2" s="2"/>
      <x:c r="E2" s="2"/>
      <x:c r="F2" s="2"/>
    </x:row>
    <x:row r="3" ht="24" customHeight="1">
      <x:c r="A3" s="5" t="str">
        <x:v>Marca Demo. Importes en ARS. Datos sintéticos al 20/10/2026.</x:v>
      </x:c>
      <x:c r="B3" s="4"/>
      <x:c r="C3" s="4"/>
      <x:c r="D3" s="4"/>
      <x:c r="E3" s="4"/>
      <x:c r="F3" s="4"/>
    </x:row>
    <x:row r="4" ht="24" customHeight="1">
      <x:c r="A4" s="2"/>
      <x:c r="B4" s="2"/>
      <x:c r="C4" s="2"/>
      <x:c r="D4" s="2"/>
      <x:c r="E4" s="2"/>
      <x:c r="F4" s="2"/>
    </x:row>
    <x:row r="5" ht="24" customHeight="1">
      <x:c r="A5" s="2" t="str">
        <x:v>Escenario activo</x:v>
      </x:c>
      <x:c r="B5" s="2"/>
      <x:c r="C5" s="7" t="n">
        <x:v>2</x:v>
      </x:c>
      <x:c r="D5" s="2"/>
      <x:c r="E5" s="2"/>
      <x:c r="F5" s="2"/>
    </x:row>
    <x:row r="6" ht="24" customHeight="1">
      <x:c r="A6" s="2"/>
      <x:c r="B6" s="2"/>
      <x:c r="C6" s="2"/>
      <x:c r="D6" s="2"/>
      <x:c r="E6" s="2"/>
      <x:c r="F6" s="2"/>
    </x:row>
    <x:row r="7" ht="24" customHeight="1">
      <x:c r="A7" s="8" t="str">
        <x:v>Azul y ámbar: entradas editables. Verde: fórmulas que leen otra hoja.</x:v>
      </x:c>
      <x:c r="B7" s="2"/>
      <x:c r="C7" s="2"/>
      <x:c r="D7" s="2"/>
      <x:c r="E7" s="2"/>
      <x:c r="F7" s="2"/>
    </x:row>
    <x:row r="8" ht="24" customHeight="1">
      <x:c r="A8" s="2"/>
      <x:c r="B8" s="2"/>
      <x:c r="C8" s="2"/>
      <x:c r="D8" s="2"/>
      <x:c r="E8" s="2"/>
      <x:c r="F8" s="2"/>
    </x:row>
    <x:row r="9" ht="44" customHeight="1">
      <x:c r="A9" s="12" t="str">
        <x:v>Clave</x:v>
      </x:c>
      <x:c r="B9" s="12" t="str">
        <x:v>Supuesto</x:v>
      </x:c>
      <x:c r="C9" s="12" t="str">
        <x:v>Valor</x:v>
      </x:c>
      <x:c r="D9" s="12" t="str">
        <x:v>Unidad</x:v>
      </x:c>
      <x:c r="E9" s="2"/>
      <x:c r="F9" s="2"/>
    </x:row>
    <x:row r="10" ht="24" customHeight="1">
      <x:c r="A10" s="2" t="str">
        <x:v>mult</x:v>
      </x:c>
      <x:c r="B10" s="2" t="str">
        <x:v>Multiplicador del precio minorista</x:v>
      </x:c>
      <x:c r="C10" s="13" t="n">
        <x:v>2.1</x:v>
      </x:c>
      <x:c r="D10" s="2" t="str">
        <x:v>veces</x:v>
      </x:c>
      <x:c r="E10" s="2"/>
      <x:c r="F10" s="2"/>
    </x:row>
    <x:row r="11" ht="24" customHeight="1">
      <x:c r="A11" s="2" t="str">
        <x:v>umbral</x:v>
      </x:c>
      <x:c r="B11" s="15" t="str">
        <x:v>Margen mínimo de la colección</x:v>
      </x:c>
      <x:c r="C11" s="16" t="n">
        <x:v>0.48</x:v>
      </x:c>
      <x:c r="D11" s="2" t="str"/>
      <x:c r="E11" s="2"/>
      <x:c r="F11" s="2"/>
    </x:row>
    <x:row r="12" ht="24" customHeight="1">
      <x:c r="A12" s="2" t="str">
        <x:v>fijoPct</x:v>
      </x:c>
      <x:c r="B12" s="15" t="str">
        <x:v>Costos fijos sobre facturación</x:v>
      </x:c>
      <x:c r="C12" s="16" t="n">
        <x:v>0.27</x:v>
      </x:c>
      <x:c r="D12" s="2" t="str"/>
      <x:c r="E12" s="2"/>
      <x:c r="F12" s="2"/>
    </x:row>
    <x:row r="13" ht="24" customHeight="1">
      <x:c r="A13" s="2" t="str">
        <x:v>log</x:v>
      </x:c>
      <x:c r="B13" s="2" t="str">
        <x:v>Logística por prenda</x:v>
      </x:c>
      <x:c r="C13" s="17" t="n">
        <x:v>1900</x:v>
      </x:c>
      <x:c r="D13" s="2" t="str">
        <x:v>ARS</x:v>
      </x:c>
      <x:c r="E13" s="2"/>
      <x:c r="F13" s="2"/>
    </x:row>
    <x:row r="14" ht="24" customHeight="1">
      <x:c r="A14" s="2" t="str">
        <x:v>tasa</x:v>
      </x:c>
      <x:c r="B14" s="15" t="str">
        <x:v>Costo financiero mensual</x:v>
      </x:c>
      <x:c r="C14" s="16" t="n">
        <x:v>0.021</x:v>
      </x:c>
      <x:c r="D14" s="2" t="str"/>
      <x:c r="E14" s="2"/>
      <x:c r="F14" s="2"/>
    </x:row>
    <x:row r="15" ht="24" customHeight="1">
      <x:c r="A15" s="2" t="str">
        <x:v>plazo</x:v>
      </x:c>
      <x:c r="B15" s="2" t="str">
        <x:v>Plazo en compra en firme</x:v>
      </x:c>
      <x:c r="C15" s="17" t="n">
        <x:v>45</x:v>
      </x:c>
      <x:c r="D15" s="2" t="str">
        <x:v>días</x:v>
      </x:c>
      <x:c r="E15" s="2"/>
      <x:c r="F15" s="2"/>
    </x:row>
    <x:row r="16" ht="24" customHeight="1">
      <x:c r="A16" s="2" t="str">
        <x:v>devol</x:v>
      </x:c>
      <x:c r="B16" s="15" t="str">
        <x:v>Fallas y devoluciones</x:v>
      </x:c>
      <x:c r="C16" s="16" t="n">
        <x:v>0.015</x:v>
      </x:c>
      <x:c r="D16" s="2" t="str"/>
      <x:c r="E16" s="2"/>
      <x:c r="F16" s="2"/>
    </x:row>
    <x:row r="17" ht="24" customHeight="1">
      <x:c r="A17" s="2" t="str">
        <x:v>consig</x:v>
      </x:c>
      <x:c r="B17" s="15" t="str">
        <x:v>Comisión en consignación</x:v>
      </x:c>
      <x:c r="C17" s="16" t="n">
        <x:v>0.36</x:v>
      </x:c>
      <x:c r="D17" s="2" t="str"/>
      <x:c r="E17" s="2"/>
      <x:c r="F17" s="2"/>
    </x:row>
    <x:row r="18" ht="24" customHeight="1">
      <x:c r="A18" s="2" t="str">
        <x:v>plazoC</x:v>
      </x:c>
      <x:c r="B18" s="2" t="str">
        <x:v>Plazo en consignación</x:v>
      </x:c>
      <x:c r="C18" s="17" t="n">
        <x:v>60</x:v>
      </x:c>
      <x:c r="D18" s="2" t="str">
        <x:v>días</x:v>
      </x:c>
      <x:c r="E18" s="2"/>
      <x:c r="F18" s="2"/>
    </x:row>
    <x:row r="19" ht="24" customHeight="1">
      <x:c r="A19" s="2" t="str">
        <x:v>deter</x:v>
      </x:c>
      <x:c r="B19" s="15" t="str">
        <x:v>Deterioro de prendas devueltas</x:v>
      </x:c>
      <x:c r="C19" s="16" t="n">
        <x:v>0.11</x:v>
      </x:c>
      <x:c r="D19" s="2" t="str"/>
      <x:c r="E19" s="2"/>
      <x:c r="F19" s="2"/>
    </x:row>
    <x:row r="20" ht="24" customHeight="1">
      <x:c r="A20" s="2" t="str">
        <x:v>agente</x:v>
      </x:c>
      <x:c r="B20" s="15" t="str">
        <x:v>Comisión del agente</x:v>
      </x:c>
      <x:c r="C20" s="16" t="n">
        <x:v>0.09</x:v>
      </x:c>
      <x:c r="D20" s="2" t="str"/>
      <x:c r="E20" s="2"/>
      <x:c r="F20" s="2"/>
    </x:row>
    <x:row r="21" ht="24" customHeight="1">
      <x:c r="A21" s="2" t="str">
        <x:v>fotos</x:v>
      </x:c>
      <x:c r="B21" s="2" t="str">
        <x:v>Fotos de la colección</x:v>
      </x:c>
      <x:c r="C21" s="17" t="n">
        <x:v>285000</x:v>
      </x:c>
      <x:c r="D21" s="2" t="str">
        <x:v>ARS</x:v>
      </x:c>
      <x:c r="E21" s="2"/>
      <x:c r="F21" s="2"/>
    </x:row>
    <x:row r="22" ht="24" customHeight="1">
      <x:c r="A22" s="2" t="str">
        <x:v>visitas</x:v>
      </x:c>
      <x:c r="B22" s="2" t="str">
        <x:v>Visitas comerciales mensuales</x:v>
      </x:c>
      <x:c r="C22" s="17" t="n">
        <x:v>76000</x:v>
      </x:c>
      <x:c r="D22" s="2" t="str">
        <x:v>ARS</x:v>
      </x:c>
      <x:c r="E22" s="2"/>
      <x:c r="F22" s="2"/>
    </x:row>
    <x:row r="23" ht="24" customHeight="1">
      <x:c r="A23" s="2" t="str">
        <x:v>feria</x:v>
      </x:c>
      <x:c r="B23" s="2" t="str">
        <x:v>Feria con agente</x:v>
      </x:c>
      <x:c r="C23" s="17" t="n">
        <x:v>960000</x:v>
      </x:c>
      <x:c r="D23" s="2" t="str">
        <x:v>ARS</x:v>
      </x:c>
      <x:c r="E23" s="2"/>
      <x:c r="F23" s="2"/>
    </x:row>
    <x:row r="24" ht="24" customHeight="1">
      <x:c r="A24" s="2" t="str">
        <x:v>meses</x:v>
      </x:c>
      <x:c r="B24" s="2" t="str">
        <x:v>Horizonte de evaluación</x:v>
      </x:c>
      <x:c r="C24" s="17" t="n">
        <x:v>5</x:v>
      </x:c>
      <x:c r="D24" s="2" t="str">
        <x:v>meses</x:v>
      </x:c>
      <x:c r="E24" s="2"/>
      <x:c r="F24" s="2"/>
    </x:row>
    <x:row r="25" ht="24" customHeight="1">
      <x:c r="A25" s="2" t="str">
        <x:v>comOn</x:v>
      </x:c>
      <x:c r="B25" s="15" t="str">
        <x:v>Comisión de cobro online</x:v>
      </x:c>
      <x:c r="C25" s="16" t="n">
        <x:v>0.06</x:v>
      </x:c>
      <x:c r="D25" s="2" t="str"/>
      <x:c r="E25" s="2"/>
      <x:c r="F25" s="2"/>
    </x:row>
    <x:row r="26" ht="24" customHeight="1">
      <x:c r="A26" s="2" t="str">
        <x:v>envOn</x:v>
      </x:c>
      <x:c r="B26" s="2" t="str">
        <x:v>Envío online por pedido</x:v>
      </x:c>
      <x:c r="C26" s="17" t="n">
        <x:v>6400</x:v>
      </x:c>
      <x:c r="D26" s="2" t="str">
        <x:v>ARS</x:v>
      </x:c>
      <x:c r="E26" s="2"/>
      <x:c r="F26" s="2"/>
    </x:row>
    <x:row r="27" ht="24" customHeight="1">
      <x:c r="A27" s="2" t="str">
        <x:v>cac</x:v>
      </x:c>
      <x:c r="B27" s="2" t="str">
        <x:v>Adquisición por venta nueva</x:v>
      </x:c>
      <x:c r="C27" s="17" t="n">
        <x:v>35000</x:v>
      </x:c>
      <x:c r="D27" s="2" t="str">
        <x:v>ARS</x:v>
      </x:c>
      <x:c r="E27" s="2"/>
      <x:c r="F27" s="2"/>
    </x:row>
    <x:row r="28" ht="24" customHeight="1">
      <x:c r="A28" s="2" t="str">
        <x:v>pautaMay</x:v>
      </x:c>
      <x:c r="B28" s="2" t="str">
        <x:v>Publicidad mayorista mensual</x:v>
      </x:c>
      <x:c r="C28" s="17" t="n">
        <x:v>160000</x:v>
      </x:c>
      <x:c r="D28" s="2" t="str">
        <x:v>ARS</x:v>
      </x:c>
      <x:c r="E28" s="2"/>
      <x:c r="F28" s="2"/>
    </x:row>
    <x:row r="29" ht="24" customHeight="1">
      <x:c r="A29" s="2" t="str">
        <x:v>cap</x:v>
      </x:c>
      <x:c r="B29" s="2" t="str">
        <x:v>Capacidad de producción mensual</x:v>
      </x:c>
      <x:c r="C29" s="17" t="n">
        <x:v>72</x:v>
      </x:c>
      <x:c r="D29" s="2" t="str">
        <x:v>prendas</x:v>
      </x:c>
      <x:c r="E29" s="2"/>
      <x:c r="F29" s="2"/>
    </x:row>
    <x:row r="30" ht="24" customHeight="1">
      <x:c r="A30" s="2"/>
      <x:c r="B30" s="2"/>
      <x:c r="C30" s="2"/>
      <x:c r="D30" s="2"/>
      <x:c r="E30" s="2"/>
      <x:c r="F30" s="2"/>
    </x:row>
    <x:row r="31" ht="24" customHeight="1">
      <x:c r="A31" s="8" t="str">
        <x:v>Fuente: catálogo y supuestos de la demostración. Todos los valores son inventados.</x:v>
      </x:c>
      <x:c r="B31" s="2"/>
      <x:c r="C31" s="2"/>
      <x:c r="D31" s="2"/>
      <x:c r="E31" s="2"/>
      <x:c r="F31" s="2"/>
    </x:row>
    <x:row r="32" ht="24" customHeight="1">
      <x:c r="A32" s="2"/>
      <x:c r="B32" s="2"/>
      <x:c r="C32" s="2"/>
      <x:c r="D32" s="2"/>
      <x:c r="E32" s="2"/>
      <x:c r="F32" s="2"/>
    </x:row>
    <x:row r="33" ht="24" customHeight="1">
      <x:c r="A33" s="2"/>
      <x:c r="B33" s="2"/>
      <x:c r="C33" s="2"/>
      <x:c r="D33" s="2"/>
      <x:c r="E33" s="2"/>
      <x:c r="F33" s="2"/>
    </x:row>
    <x:row r="34" ht="24" customHeight="1">
      <x:c r="A34" s="2"/>
      <x:c r="B34" s="2"/>
      <x:c r="C34" s="2"/>
      <x:c r="D34" s="2"/>
      <x:c r="E34" s="2"/>
      <x:c r="F34" s="2"/>
    </x:row>
    <x:row r="35" ht="44" customHeight="1">
      <x:c r="A35" s="12" t="str">
        <x:v>N.º</x:v>
      </x:c>
      <x:c r="B35" s="12" t="str">
        <x:v>Escenario</x:v>
      </x:c>
      <x:c r="C35" s="12" t="str">
        <x:v>Modalidad</x:v>
      </x:c>
      <x:c r="D35" s="12" t="str">
        <x:v>Tiendas</x:v>
      </x:c>
      <x:c r="E35" s="12" t="str">
        <x:v>Prendas por tienda</x:v>
      </x:c>
      <x:c r="F35" s="12" t="str">
        <x:v>Proporción vendida</x:v>
      </x:c>
    </x:row>
    <x:row r="36" ht="24" customHeight="1">
      <x:c r="A36" s="2" t="n">
        <x:v>1</x:v>
      </x:c>
      <x:c r="B36" s="2" t="str">
        <x:v>Piloto demo</x:v>
      </x:c>
      <x:c r="C36" s="2" t="str">
        <x:v>Consignación</x:v>
      </x:c>
      <x:c r="D36" s="7" t="n">
        <x:v>2</x:v>
      </x:c>
      <x:c r="E36" s="7" t="n">
        <x:v>14</x:v>
      </x:c>
      <x:c r="F36" s="14" t="n">
        <x:v>0.62</x:v>
      </x:c>
    </x:row>
    <x:row r="37" ht="24" customHeight="1">
      <x:c r="A37" s="2" t="n">
        <x:v>2</x:v>
      </x:c>
      <x:c r="B37" s="2" t="str">
        <x:v>Base demo</x:v>
      </x:c>
      <x:c r="C37" s="2" t="str">
        <x:v>Compra en firme</x:v>
      </x:c>
      <x:c r="D37" s="7" t="n">
        <x:v>6</x:v>
      </x:c>
      <x:c r="E37" s="7" t="n">
        <x:v>18</x:v>
      </x:c>
      <x:c r="F37" s="14" t="n">
        <x:v>1</x:v>
      </x:c>
    </x:row>
    <x:row r="38" ht="24" customHeight="1">
      <x:c r="A38" s="2" t="n">
        <x:v>3</x:v>
      </x:c>
      <x:c r="B38" s="2" t="str">
        <x:v>Ampliado demo</x:v>
      </x:c>
      <x:c r="C38" s="2" t="str">
        <x:v>Compra en firme</x:v>
      </x:c>
      <x:c r="D38" s="7" t="n">
        <x:v>11</x:v>
      </x:c>
      <x:c r="E38" s="7" t="n">
        <x:v>22</x:v>
      </x:c>
      <x:c r="F38" s="14" t="n">
        <x:v>1</x:v>
      </x:c>
    </x:row>
    <x:row r="39" ht="24" customHeight="1">
      <x:c r="A39" s="2"/>
      <x:c r="B39" s="2"/>
      <x:c r="C39" s="2"/>
      <x:c r="D39" s="2"/>
      <x:c r="E39" s="2"/>
      <x:c r="F39" s="2"/>
    </x:row>
    <x:row r="40" ht="24" customHeight="1">
      <x:c r="A40" s="33" t="str">
        <x:v>Activo</x:v>
      </x:c>
      <x:c r="B40" s="36" t="str">
        <x:f>INDEX(B36:B38,$C$5)</x:f>
        <x:v>Base demo</x:v>
      </x:c>
      <x:c r="C40" s="36" t="str">
        <x:f>INDEX(C36:C38,$C$5)</x:f>
        <x:v>Compra en firme</x:v>
      </x:c>
      <x:c r="D40" s="36" t="n">
        <x:f>INDEX(D36:D38,$C$5)</x:f>
        <x:v>6</x:v>
      </x:c>
      <x:c r="E40" s="36" t="n">
        <x:f>INDEX(E36:E38,$C$5)</x:f>
        <x:v>18</x:v>
      </x:c>
      <x:c r="F40" s="35" t="n">
        <x:f>INDEX(F36:F38,$C$5)</x:f>
        <x:v>1</x:v>
      </x:c>
    </x:row>
    <x:row r="41" ht="24" customHeight="1">
      <x:c r="A41" s="2"/>
      <x:c r="B41" s="2"/>
      <x:c r="C41" s="2"/>
      <x:c r="D41" s="2"/>
      <x:c r="E41" s="2"/>
      <x:c r="F41" s="2"/>
    </x:row>
    <x:row r="42" ht="24" customHeight="1">
      <x:c r="A42" s="2" t="str">
        <x:v>Agente activo</x:v>
      </x:c>
      <x:c r="B42" s="2"/>
      <x:c r="C42" s="19" t="n">
        <x:f>INDEX(C44:C46,$C$5)</x:f>
        <x:v>0</x:v>
      </x:c>
      <x:c r="D42" s="2"/>
      <x:c r="E42" s="2"/>
      <x:c r="F42" s="2"/>
    </x:row>
    <x:row r="43" ht="44" customHeight="1">
      <x:c r="A43" s="12" t="str">
        <x:v>N.º</x:v>
      </x:c>
      <x:c r="B43" s="12" t="str">
        <x:v>Escenario</x:v>
      </x:c>
      <x:c r="C43" s="12" t="str">
        <x:v>Con agente (1 = sí)</x:v>
      </x:c>
      <x:c r="D43" s="2"/>
      <x:c r="E43" s="2"/>
      <x:c r="F43" s="2"/>
    </x:row>
    <x:row r="44" ht="24" customHeight="1">
      <x:c r="A44" s="2" t="n">
        <x:v>1</x:v>
      </x:c>
      <x:c r="B44" s="2" t="str">
        <x:v>Piloto demo</x:v>
      </x:c>
      <x:c r="C44" s="7" t="n">
        <x:v>0</x:v>
      </x:c>
      <x:c r="D44" s="2"/>
      <x:c r="E44" s="2"/>
      <x:c r="F44" s="2"/>
    </x:row>
    <x:row r="45" ht="24" customHeight="1">
      <x:c r="A45" s="2" t="n">
        <x:v>2</x:v>
      </x:c>
      <x:c r="B45" s="2" t="str">
        <x:v>Base demo</x:v>
      </x:c>
      <x:c r="C45" s="7" t="n">
        <x:v>0</x:v>
      </x:c>
      <x:c r="D45" s="2"/>
      <x:c r="E45" s="2"/>
      <x:c r="F45" s="2"/>
    </x:row>
    <x:row r="46">
      <x:c r="A46" t="n">
        <x:v>3</x:v>
      </x:c>
      <x:c r="B46" t="str">
        <x:v>Ampliado demo</x:v>
      </x:c>
      <x:c r="C46" s="38" t="n">
        <x:v>1</x:v>
      </x:c>
    </x:row>
  </x:sheetData>
  <x:dataValidations count="1">
    <x:dataValidation type="whole" operator="between" sqref="C5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7D8DD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 ht="24" customHeight="1">
      <x:c r="A2" s="3" t="str">
        <x:v>Resultado por modelo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24" customHeight="1">
      <x:c r="A3" s="5" t="str">
        <x:v>Catálogo ficticio. El promedio pondera por producción sólo los modelos que cumplen el margen mínimo.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</x:row>
    <x:row r="6" ht="44" customHeight="1">
      <x:c r="A6" s="12" t="str">
        <x:v>Modelo</x:v>
      </x:c>
      <x:c r="B6" s="12" t="str">
        <x:v>Producción</x:v>
      </x:c>
      <x:c r="C6" s="12" t="str">
        <x:v>PVP</x:v>
      </x:c>
      <x:c r="D6" s="12" t="str">
        <x:v>Fábrica</x:v>
      </x:c>
      <x:c r="E6" s="12" t="str">
        <x:v>Deja minorista base</x:v>
      </x:c>
      <x:c r="F6" s="12" t="str">
        <x:v>Precio mayorista</x:v>
      </x:c>
      <x:c r="G6" s="12" t="str">
        <x:v>Logística</x:v>
      </x:c>
      <x:c r="H6" s="12" t="str">
        <x:v>Financiación</x:v>
      </x:c>
      <x:c r="I6" s="12" t="str">
        <x:v>Fallas</x:v>
      </x:c>
      <x:c r="J6" s="12" t="str">
        <x:v>Costo del canal</x:v>
      </x:c>
      <x:c r="K6" s="12" t="str">
        <x:v>Deja mayorista</x:v>
      </x:c>
      <x:c r="L6" s="12" t="str">
        <x:v>Margen</x:v>
      </x:c>
      <x:c r="M6" s="12" t="str">
        <x:v>Costos fijos</x:v>
      </x:c>
      <x:c r="N6" s="12" t="str">
        <x:v>Deja luego de fijos</x:v>
      </x:c>
      <x:c r="O6" s="12" t="str">
        <x:v>Vs. deja minorista</x:v>
      </x:c>
      <x:c r="P6" s="12" t="str">
        <x:v>Entra colección</x:v>
      </x:c>
      <x:c r="Q6" s="12" t="str">
        <x:v>Peso elegible</x:v>
      </x:c>
    </x:row>
    <x:row r="7" ht="24" customHeight="1">
      <x:c r="A7" s="2" t="str">
        <x:v>Aurora</x:v>
      </x:c>
      <x:c r="B7" s="17" t="n">
        <x:v>48</x:v>
      </x:c>
      <x:c r="C7" s="17" t="n">
        <x:v>187000</x:v>
      </x:c>
      <x:c r="D7" s="17" t="n">
        <x:v>44448</x:v>
      </x:c>
      <x:c r="E7" s="17" t="n">
        <x:v>124932</x:v>
      </x:c>
      <x:c r="F7" s="21" t="n">
        <x:f>C7/'Supuestos'!$C$10</x:f>
        <x:v>89047.61904761904</x:v>
      </x:c>
      <x:c r="G7" s="21" t="n">
        <x:f>'Supuestos'!$C$13</x:f>
        <x:v>1900</x:v>
      </x:c>
      <x:c r="H7" s="21" t="n">
        <x:f>F7*'Supuestos'!$C$14*'Supuestos'!$C$15/30</x:f>
        <x:v>2805</x:v>
      </x:c>
      <x:c r="I7" s="21" t="n">
        <x:f>F7*'Supuestos'!$C$16</x:f>
        <x:v>1335.7142857142856</x:v>
      </x:c>
      <x:c r="J7" s="22" t="n">
        <x:f>D7+SUM(G7:I7)</x:f>
        <x:v>50488.71428571428</x:v>
      </x:c>
      <x:c r="K7" s="22" t="n">
        <x:f>F7-J7</x:f>
        <x:v>38558.904761904756</x:v>
      </x:c>
      <x:c r="L7" s="23" t="n">
        <x:f>IF(F7&gt;0,K7/F7,0)</x:f>
        <x:v>0.4330144385026738</x:v>
      </x:c>
      <x:c r="M7" s="21" t="n">
        <x:f>F7*'Supuestos'!$C$12</x:f>
        <x:v>24042.85714285714</x:v>
      </x:c>
      <x:c r="N7" s="22" t="n">
        <x:f>K7-M7</x:f>
        <x:v>14516.047619047615</x:v>
      </x:c>
      <x:c r="O7" s="23" t="n">
        <x:f>IF(E7&gt;0,K7/E7,0)</x:f>
        <x:v>0.30863913778619373</x:v>
      </x:c>
      <x:c r="P7" s="18" t="str">
        <x:f>IF(L7&gt;='Supuestos'!$C$11,"Sí","No")</x:f>
        <x:v>No</x:v>
      </x:c>
      <x:c r="Q7" s="22" t="n">
        <x:f>IF(P7="Sí",B7,0)</x:f>
        <x:v>0</x:v>
      </x:c>
    </x:row>
    <x:row r="8" ht="24" customHeight="1">
      <x:c r="A8" s="2" t="str">
        <x:v>Bruma</x:v>
      </x:c>
      <x:c r="B8" s="17" t="n">
        <x:v>52</x:v>
      </x:c>
      <x:c r="C8" s="17" t="n">
        <x:v>213000</x:v>
      </x:c>
      <x:c r="D8" s="17" t="n">
        <x:v>46517</x:v>
      </x:c>
      <x:c r="E8" s="17" t="n">
        <x:v>147303</x:v>
      </x:c>
      <x:c r="F8" s="21" t="n">
        <x:f>C8/'Supuestos'!$C$10</x:f>
        <x:v>101428.57142857142</x:v>
      </x:c>
      <x:c r="G8" s="21" t="n">
        <x:f>'Supuestos'!$C$13</x:f>
        <x:v>1900</x:v>
      </x:c>
      <x:c r="H8" s="21" t="n">
        <x:f>F8*'Supuestos'!$C$14*'Supuestos'!$C$15/30</x:f>
        <x:v>3195</x:v>
      </x:c>
      <x:c r="I8" s="21" t="n">
        <x:f>F8*'Supuestos'!$C$16</x:f>
        <x:v>1521.4285714285713</x:v>
      </x:c>
      <x:c r="J8" s="22" t="n">
        <x:f>D8+SUM(G8:I8)</x:f>
        <x:v>53133.42857142857</x:v>
      </x:c>
      <x:c r="K8" s="22" t="n">
        <x:f>F8-J8</x:f>
        <x:v>48295.14285714285</x:v>
      </x:c>
      <x:c r="L8" s="23" t="n">
        <x:f>IF(F8&gt;0,K8/F8,0)</x:f>
        <x:v>0.4761492957746478</x:v>
      </x:c>
      <x:c r="M8" s="21" t="n">
        <x:f>F8*'Supuestos'!$C$12</x:f>
        <x:v>27385.714285714286</x:v>
      </x:c>
      <x:c r="N8" s="22" t="n">
        <x:f>K8-M8</x:f>
        <x:v>20909.42857142856</x:v>
      </x:c>
      <x:c r="O8" s="23" t="n">
        <x:f>IF(E8&gt;0,K8/E8,0)</x:f>
        <x:v>0.3278625883868139</x:v>
      </x:c>
      <x:c r="P8" s="18" t="str">
        <x:f>IF(L8&gt;='Supuestos'!$C$11,"Sí","No")</x:f>
        <x:v>No</x:v>
      </x:c>
      <x:c r="Q8" s="22" t="n">
        <x:f>IF(P8="Sí",B8,0)</x:f>
        <x:v>0</x:v>
      </x:c>
    </x:row>
    <x:row r="9" ht="24" customHeight="1">
      <x:c r="A9" s="2" t="str">
        <x:v>Duna</x:v>
      </x:c>
      <x:c r="B9" s="17" t="n">
        <x:v>56</x:v>
      </x:c>
      <x:c r="C9" s="17" t="n">
        <x:v>169000</x:v>
      </x:c>
      <x:c r="D9" s="17" t="n">
        <x:v>48586</x:v>
      </x:c>
      <x:c r="E9" s="17" t="n">
        <x:v>103874</x:v>
      </x:c>
      <x:c r="F9" s="21" t="n">
        <x:f>C9/'Supuestos'!$C$10</x:f>
        <x:v>80476.19047619047</x:v>
      </x:c>
      <x:c r="G9" s="21" t="n">
        <x:f>'Supuestos'!$C$13</x:f>
        <x:v>1900</x:v>
      </x:c>
      <x:c r="H9" s="21" t="n">
        <x:f>F9*'Supuestos'!$C$14*'Supuestos'!$C$15/30</x:f>
        <x:v>2535</x:v>
      </x:c>
      <x:c r="I9" s="21" t="n">
        <x:f>F9*'Supuestos'!$C$16</x:f>
        <x:v>1207.142857142857</x:v>
      </x:c>
      <x:c r="J9" s="22" t="n">
        <x:f>D9+SUM(G9:I9)</x:f>
        <x:v>54228.142857142855</x:v>
      </x:c>
      <x:c r="K9" s="22" t="n">
        <x:f>F9-J9</x:f>
        <x:v>26248.04761904762</x:v>
      </x:c>
      <x:c r="L9" s="23" t="n">
        <x:f>IF(F9&gt;0,K9/F9,0)</x:f>
        <x:v>0.32615917159763314</x:v>
      </x:c>
      <x:c r="M9" s="21" t="n">
        <x:f>F9*'Supuestos'!$C$12</x:f>
        <x:v>21728.571428571428</x:v>
      </x:c>
      <x:c r="N9" s="22" t="n">
        <x:f>K9-M9</x:f>
        <x:v>4519.476190476191</x:v>
      </x:c>
      <x:c r="O9" s="23" t="n">
        <x:f>IF(E9&gt;0,K9/E9,0)</x:f>
        <x:v>0.2526912183900458</x:v>
      </x:c>
      <x:c r="P9" s="18" t="str">
        <x:f>IF(L9&gt;='Supuestos'!$C$11,"Sí","No")</x:f>
        <x:v>No</x:v>
      </x:c>
      <x:c r="Q9" s="22" t="n">
        <x:f>IF(P9="Sí",B9,0)</x:f>
        <x:v>0</x:v>
      </x:c>
    </x:row>
    <x:row r="10" ht="24" customHeight="1">
      <x:c r="A10" s="2" t="str">
        <x:v>Luma</x:v>
      </x:c>
      <x:c r="B10" s="17" t="n">
        <x:v>60</x:v>
      </x:c>
      <x:c r="C10" s="17" t="n">
        <x:v>246000</x:v>
      </x:c>
      <x:c r="D10" s="17" t="n">
        <x:v>50656</x:v>
      </x:c>
      <x:c r="E10" s="17" t="n">
        <x:v>174184</x:v>
      </x:c>
      <x:c r="F10" s="21" t="n">
        <x:f>C10/'Supuestos'!$C$10</x:f>
        <x:v>117142.85714285714</x:v>
      </x:c>
      <x:c r="G10" s="21" t="n">
        <x:f>'Supuestos'!$C$13</x:f>
        <x:v>1900</x:v>
      </x:c>
      <x:c r="H10" s="21" t="n">
        <x:f>F10*'Supuestos'!$C$14*'Supuestos'!$C$15/30</x:f>
        <x:v>3690</x:v>
      </x:c>
      <x:c r="I10" s="21" t="n">
        <x:f>F10*'Supuestos'!$C$16</x:f>
        <x:v>1757.142857142857</x:v>
      </x:c>
      <x:c r="J10" s="22" t="n">
        <x:f>D10+SUM(G10:I10)</x:f>
        <x:v>58003.142857142855</x:v>
      </x:c>
      <x:c r="K10" s="22" t="n">
        <x:f>F10-J10</x:f>
        <x:v>59139.71428571429</x:v>
      </x:c>
      <x:c r="L10" s="23" t="n">
        <x:f>IF(F10&gt;0,K10/F10,0)</x:f>
        <x:v>0.5048512195121951</x:v>
      </x:c>
      <x:c r="M10" s="21" t="n">
        <x:f>F10*'Supuestos'!$C$12</x:f>
        <x:v>31628.57142857143</x:v>
      </x:c>
      <x:c r="N10" s="22" t="n">
        <x:f>K10-M10</x:f>
        <x:v>27511.14285714286</x:v>
      </x:c>
      <x:c r="O10" s="23" t="n">
        <x:f>IF(E10&gt;0,K10/E10,0)</x:f>
        <x:v>0.3395243781616813</x:v>
      </x:c>
      <x:c r="P10" s="18" t="str">
        <x:f>IF(L10&gt;='Supuestos'!$C$11,"Sí","No")</x:f>
        <x:v>Sí</x:v>
      </x:c>
      <x:c r="Q10" s="22" t="n">
        <x:f>IF(P10="Sí",B10,0)</x:f>
        <x:v>60</x:v>
      </x:c>
    </x:row>
    <x:row r="11" ht="24" customHeight="1">
      <x:c r="A11" s="2" t="str">
        <x:v>Cedro</x:v>
      </x:c>
      <x:c r="B11" s="17" t="n">
        <x:v>64</x:v>
      </x:c>
      <x:c r="C11" s="17" t="n">
        <x:v>158000</x:v>
      </x:c>
      <x:c r="D11" s="17" t="n">
        <x:v>52725</x:v>
      </x:c>
      <x:c r="E11" s="17" t="n">
        <x:v>89395</x:v>
      </x:c>
      <x:c r="F11" s="21" t="n">
        <x:f>C11/'Supuestos'!$C$10</x:f>
        <x:v>75238.09523809524</x:v>
      </x:c>
      <x:c r="G11" s="21" t="n">
        <x:f>'Supuestos'!$C$13</x:f>
        <x:v>1900</x:v>
      </x:c>
      <x:c r="H11" s="21" t="n">
        <x:f>F11*'Supuestos'!$C$14*'Supuestos'!$C$15/30</x:f>
        <x:v>2370</x:v>
      </x:c>
      <x:c r="I11" s="21" t="n">
        <x:f>F11*'Supuestos'!$C$16</x:f>
        <x:v>1128.5714285714284</x:v>
      </x:c>
      <x:c r="J11" s="22" t="n">
        <x:f>D11+SUM(G11:I11)</x:f>
        <x:v>58123.57142857143</x:v>
      </x:c>
      <x:c r="K11" s="22" t="n">
        <x:f>F11-J11</x:f>
        <x:v>17114.52380952381</x:v>
      </x:c>
      <x:c r="L11" s="23" t="n">
        <x:f>IF(F11&gt;0,K11/F11,0)</x:f>
        <x:v>0.22747151898734178</x:v>
      </x:c>
      <x:c r="M11" s="21" t="n">
        <x:f>F11*'Supuestos'!$C$12</x:f>
        <x:v>20314.285714285714</x:v>
      </x:c>
      <x:c r="N11" s="22" t="n">
        <x:f>K11-M11</x:f>
        <x:v>-3199.7619047619046</x:v>
      </x:c>
      <x:c r="O11" s="23" t="n">
        <x:f>IF(E11&gt;0,K11/E11,0)</x:f>
        <x:v>0.19144833390596577</x:v>
      </x:c>
      <x:c r="P11" s="18" t="str">
        <x:f>IF(L11&gt;='Supuestos'!$C$11,"Sí","No")</x:f>
        <x:v>No</x:v>
      </x:c>
      <x:c r="Q11" s="22" t="n">
        <x:f>IF(P11="Sí",B11,0)</x:f>
        <x:v>0</x:v>
      </x:c>
    </x:row>
    <x:row r="12" ht="24" customHeight="1">
      <x:c r="A12" s="2" t="str">
        <x:v>Oliva</x:v>
      </x:c>
      <x:c r="B12" s="17" t="n">
        <x:v>68</x:v>
      </x:c>
      <x:c r="C12" s="17" t="n">
        <x:v>224000</x:v>
      </x:c>
      <x:c r="D12" s="17" t="n">
        <x:v>54794</x:v>
      </x:c>
      <x:c r="E12" s="17" t="n">
        <x:v>149366</x:v>
      </x:c>
      <x:c r="F12" s="21" t="n">
        <x:f>C12/'Supuestos'!$C$10</x:f>
        <x:v>106666.66666666666</x:v>
      </x:c>
      <x:c r="G12" s="21" t="n">
        <x:f>'Supuestos'!$C$13</x:f>
        <x:v>1900</x:v>
      </x:c>
      <x:c r="H12" s="21" t="n">
        <x:f>F12*'Supuestos'!$C$14*'Supuestos'!$C$15/30</x:f>
        <x:v>3360</x:v>
      </x:c>
      <x:c r="I12" s="21" t="n">
        <x:f>F12*'Supuestos'!$C$16</x:f>
        <x:v>1599.9999999999998</x:v>
      </x:c>
      <x:c r="J12" s="22" t="n">
        <x:f>D12+SUM(G12:I12)</x:f>
        <x:v>61654</x:v>
      </x:c>
      <x:c r="K12" s="22" t="n">
        <x:f>F12-J12</x:f>
        <x:v>45012.66666666666</x:v>
      </x:c>
      <x:c r="L12" s="23" t="n">
        <x:f>IF(F12&gt;0,K12/F12,0)</x:f>
        <x:v>0.42199374999999995</x:v>
      </x:c>
      <x:c r="M12" s="21" t="n">
        <x:f>F12*'Supuestos'!$C$12</x:f>
        <x:v>28800</x:v>
      </x:c>
      <x:c r="N12" s="22" t="n">
        <x:f>K12-M12</x:f>
        <x:v>16212.666666666657</x:v>
      </x:c>
      <x:c r="O12" s="23" t="n">
        <x:f>IF(E12&gt;0,K12/E12,0)</x:f>
        <x:v>0.3013581850398796</x:v>
      </x:c>
      <x:c r="P12" s="18" t="str">
        <x:f>IF(L12&gt;='Supuestos'!$C$11,"Sí","No")</x:f>
        <x:v>No</x:v>
      </x:c>
      <x:c r="Q12" s="22" t="n">
        <x:f>IF(P12="Sí",B12,0)</x:f>
        <x:v>0</x:v>
      </x:c>
    </x:row>
    <x:row r="13" ht="24" customHeight="1">
      <x:c r="A13" s="2" t="str">
        <x:v>Prisma</x:v>
      </x:c>
      <x:c r="B13" s="17" t="n">
        <x:v>72</x:v>
      </x:c>
      <x:c r="C13" s="17" t="n">
        <x:v>198000</x:v>
      </x:c>
      <x:c r="D13" s="17" t="n">
        <x:v>56863</x:v>
      </x:c>
      <x:c r="E13" s="17" t="n">
        <x:v>122857</x:v>
      </x:c>
      <x:c r="F13" s="21" t="n">
        <x:f>C13/'Supuestos'!$C$10</x:f>
        <x:v>94285.71428571428</x:v>
      </x:c>
      <x:c r="G13" s="21" t="n">
        <x:f>'Supuestos'!$C$13</x:f>
        <x:v>1900</x:v>
      </x:c>
      <x:c r="H13" s="21" t="n">
        <x:f>F13*'Supuestos'!$C$14*'Supuestos'!$C$15/30</x:f>
        <x:v>2970</x:v>
      </x:c>
      <x:c r="I13" s="21" t="n">
        <x:f>F13*'Supuestos'!$C$16</x:f>
        <x:v>1414.285714285714</x:v>
      </x:c>
      <x:c r="J13" s="22" t="n">
        <x:f>D13+SUM(G13:I13)</x:f>
        <x:v>63147.28571428571</x:v>
      </x:c>
      <x:c r="K13" s="22" t="n">
        <x:f>F13-J13</x:f>
        <x:v>31138.428571428565</x:v>
      </x:c>
      <x:c r="L13" s="23" t="n">
        <x:f>IF(F13&gt;0,K13/F13,0)</x:f>
        <x:v>0.33025606060606055</x:v>
      </x:c>
      <x:c r="M13" s="21" t="n">
        <x:f>F13*'Supuestos'!$C$12</x:f>
        <x:v>25457.142857142855</x:v>
      </x:c>
      <x:c r="N13" s="22" t="n">
        <x:f>K13-M13</x:f>
        <x:v>5681.28571428571</x:v>
      </x:c>
      <x:c r="O13" s="23" t="n">
        <x:f>IF(E13&gt;0,K13/E13,0)</x:f>
        <x:v>0.2534526202937445</x:v>
      </x:c>
      <x:c r="P13" s="18" t="str">
        <x:f>IF(L13&gt;='Supuestos'!$C$11,"Sí","No")</x:f>
        <x:v>No</x:v>
      </x:c>
      <x:c r="Q13" s="22" t="n">
        <x:f>IF(P13="Sí",B13,0)</x:f>
        <x:v>0</x:v>
      </x:c>
    </x:row>
    <x:row r="14" ht="24" customHeight="1">
      <x:c r="A14" s="2" t="str">
        <x:v>Senda</x:v>
      </x:c>
      <x:c r="B14" s="17" t="n">
        <x:v>76</x:v>
      </x:c>
      <x:c r="C14" s="17" t="n">
        <x:v>271000</x:v>
      </x:c>
      <x:c r="D14" s="17" t="n">
        <x:v>58932</x:v>
      </x:c>
      <x:c r="E14" s="17" t="n">
        <x:v>189408</x:v>
      </x:c>
      <x:c r="F14" s="21" t="n">
        <x:f>C14/'Supuestos'!$C$10</x:f>
        <x:v>129047.61904761904</x:v>
      </x:c>
      <x:c r="G14" s="21" t="n">
        <x:f>'Supuestos'!$C$13</x:f>
        <x:v>1900</x:v>
      </x:c>
      <x:c r="H14" s="21" t="n">
        <x:f>F14*'Supuestos'!$C$14*'Supuestos'!$C$15/30</x:f>
        <x:v>4065</x:v>
      </x:c>
      <x:c r="I14" s="21" t="n">
        <x:f>F14*'Supuestos'!$C$16</x:f>
        <x:v>1935.7142857142856</x:v>
      </x:c>
      <x:c r="J14" s="22" t="n">
        <x:f>D14+SUM(G14:I14)</x:f>
        <x:v>66832.71428571429</x:v>
      </x:c>
      <x:c r="K14" s="22" t="n">
        <x:f>F14-J14</x:f>
        <x:v>62214.90476190475</x:v>
      </x:c>
      <x:c r="L14" s="23" t="n">
        <x:f>IF(F14&gt;0,K14/F14,0)</x:f>
        <x:v>0.48210811808118076</x:v>
      </x:c>
      <x:c r="M14" s="21" t="n">
        <x:f>F14*'Supuestos'!$C$12</x:f>
        <x:v>34842.857142857145</x:v>
      </x:c>
      <x:c r="N14" s="22" t="n">
        <x:f>K14-M14</x:f>
        <x:v>27372.047619047604</x:v>
      </x:c>
      <x:c r="O14" s="23" t="n">
        <x:f>IF(E14&gt;0,K14/E14,0)</x:f>
        <x:v>0.3284703115069308</x:v>
      </x:c>
      <x:c r="P14" s="18" t="str">
        <x:f>IF(L14&gt;='Supuestos'!$C$11,"Sí","No")</x:f>
        <x:v>Sí</x:v>
      </x:c>
      <x:c r="Q14" s="22" t="n">
        <x:f>IF(P14="Sí",B14,0)</x:f>
        <x:v>76</x:v>
      </x:c>
    </x:row>
    <x:row r="15" ht="24" customHeight="1">
      <x:c r="A15" s="2"/>
      <x:c r="B15" s="20"/>
      <x:c r="C15" s="20"/>
      <x:c r="D15" s="20"/>
      <x:c r="E15" s="20"/>
      <x:c r="F15" s="20"/>
      <x:c r="G15" s="20"/>
      <x:c r="H15" s="20"/>
      <x:c r="I15" s="20"/>
      <x:c r="J15" s="20"/>
      <x:c r="K15" s="20"/>
      <x:c r="L15" s="24"/>
      <x:c r="M15" s="20"/>
      <x:c r="N15" s="20"/>
      <x:c r="O15" s="24"/>
      <x:c r="P15" s="2"/>
      <x:c r="Q15" s="20"/>
    </x:row>
    <x:row r="16" ht="24" customHeight="1">
      <x:c r="A16" s="2"/>
      <x:c r="B16" s="20"/>
      <x:c r="C16" s="20"/>
      <x:c r="D16" s="20"/>
      <x:c r="E16" s="20"/>
      <x:c r="F16" s="20"/>
      <x:c r="G16" s="20"/>
      <x:c r="H16" s="20"/>
      <x:c r="I16" s="20"/>
      <x:c r="J16" s="20"/>
      <x:c r="K16" s="20"/>
      <x:c r="L16" s="24"/>
      <x:c r="M16" s="20"/>
      <x:c r="N16" s="20"/>
      <x:c r="O16" s="24"/>
      <x:c r="P16" s="2"/>
      <x:c r="Q16" s="20"/>
    </x:row>
    <x:row r="17" ht="24" customHeight="1">
      <x:c r="A17" s="33" t="str">
        <x:v>Promedio elegible</x:v>
      </x:c>
      <x:c r="B17" s="34" t="n">
        <x:f>SUM(Q7:Q14)</x:f>
        <x:v>136</x:v>
      </x:c>
      <x:c r="C17" s="34" t="n">
        <x:f>IF(SUM($Q$7:$Q$14)=0,0,SUMPRODUCT(C7:C14,$Q$7:$Q$14)/SUM($Q$7:$Q$14))</x:f>
        <x:v>259970.58823529413</x:v>
      </x:c>
      <x:c r="D17" s="34" t="n">
        <x:f>IF(SUM($Q$7:$Q$14)=0,0,SUMPRODUCT(D7:D14,$Q$7:$Q$14)/SUM($Q$7:$Q$14))</x:f>
        <x:v>55280.82352941176</x:v>
      </x:c>
      <x:c r="E17" s="34" t="n">
        <x:f>IF(SUM($Q$7:$Q$14)=0,0,SUMPRODUCT(E7:E14,$Q$7:$Q$14)/SUM($Q$7:$Q$14))</x:f>
        <x:v>182691.5294117647</x:v>
      </x:c>
      <x:c r="F17" s="34" t="n">
        <x:f>IF(SUM($Q$7:$Q$14)=0,0,SUMPRODUCT(F7:F14,$Q$7:$Q$14)/SUM($Q$7:$Q$14))</x:f>
        <x:v>123795.51820728292</x:v>
      </x:c>
      <x:c r="G17" s="34" t="n">
        <x:f>IF(SUM($Q$7:$Q$14)=0,0,SUMPRODUCT(G7:G14,$Q$7:$Q$14)/SUM($Q$7:$Q$14))</x:f>
        <x:v>1900</x:v>
      </x:c>
      <x:c r="H17" s="34" t="n">
        <x:f>IF(SUM($Q$7:$Q$14)=0,0,SUMPRODUCT(H7:H14,$Q$7:$Q$14)/SUM($Q$7:$Q$14))</x:f>
        <x:v>3899.5588235294117</x:v>
      </x:c>
      <x:c r="I17" s="34" t="n">
        <x:f>IF(SUM($Q$7:$Q$14)=0,0,SUMPRODUCT(I7:I14,$Q$7:$Q$14)/SUM($Q$7:$Q$14))</x:f>
        <x:v>1856.9327731092435</x:v>
      </x:c>
      <x:c r="J17" s="34" t="n">
        <x:f>IF(SUM($Q$7:$Q$14)=0,0,SUMPRODUCT(J7:J14,$Q$7:$Q$14)/SUM($Q$7:$Q$14))</x:f>
        <x:v>62937.31512605043</x:v>
      </x:c>
      <x:c r="K17" s="34" t="n">
        <x:f>IF(SUM($Q$7:$Q$14)=0,0,SUMPRODUCT(K7:K14,$Q$7:$Q$14)/SUM($Q$7:$Q$14))</x:f>
        <x:v>60858.20308123249</x:v>
      </x:c>
      <x:c r="L17" s="35" t="n">
        <x:f>IF(SUM($Q$7:$Q$14)=0,0,SUMPRODUCT(L7:L14,$Q$7:$Q$14)/SUM($Q$7:$Q$14))</x:f>
        <x:v>0.49214183930074595</x:v>
      </x:c>
      <x:c r="M17" s="34" t="n">
        <x:f>IF(SUM($Q$7:$Q$14)=0,0,SUMPRODUCT(M7:M14,$Q$7:$Q$14)/SUM($Q$7:$Q$14))</x:f>
        <x:v>33424.789915966394</x:v>
      </x:c>
      <x:c r="N17" s="34" t="n">
        <x:f>IF(SUM($Q$7:$Q$14)=0,0,SUMPRODUCT(N7:N14,$Q$7:$Q$14)/SUM($Q$7:$Q$14))</x:f>
        <x:v>27433.413165266098</x:v>
      </x:c>
      <x:c r="O17" s="35" t="n">
        <x:f>IF(SUM($Q$7:$Q$14)=0,0,SUMPRODUCT(O7:O14,$Q$7:$Q$14)/SUM($Q$7:$Q$14))</x:f>
        <x:v>0.3333471056193207</x:v>
      </x:c>
      <x:c r="P17" s="36" t="n">
        <x:f>COUNTIFS(P7:P14,"Sí")</x:f>
        <x:v>2</x:v>
      </x:c>
      <x:c r="Q17" s="34" t="n">
        <x:f>SUM(Q7:Q14)</x:f>
        <x:v>136</x:v>
      </x:c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</x:row>
  </x:sheetData>
  <x:pageMargins left="0.7" right="0.7" top="0.75" bottom="0.75" header="0.3" footer="0.3"/>
</x:worksheet>
</file>