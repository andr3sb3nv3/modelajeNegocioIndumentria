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8512a5d0641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b9f2b56e20d246e8"/>
    <x:sheet xmlns:r="http://schemas.openxmlformats.org/officeDocument/2006/relationships" name="Supuestos" sheetId="2" r:id="R17a416f76ebd416a"/>
    <x:sheet xmlns:r="http://schemas.openxmlformats.org/officeDocument/2006/relationships" name="Modelos" sheetId="3" r:id="R8bc423a03e40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;(0.0%);&quot;—&quot;"/>
    <x:numFmt numFmtId="201" formatCode="#,##0;(#,##0);&quot;—&quot;"/>
    <x:numFmt numFmtId="202" formatCode="0.0"/>
    <x:numFmt numFmtId="203" formatCode="&quot;$ &quot;#,##0;(&quot;$ &quot;#,##0);&quot;—&quot;"/>
  </x:numFmts>
  <x:fonts count="12">
    <x:font>
      <x:sz val="11"/>
      <x:name val="Carlito"/>
    </x:font>
    <x:font>
      <x:sz val="10"/>
      <x:color rgb="FF352C33"/>
      <x:name val="Arial"/>
    </x:font>
    <x:font>
      <x:b/>
      <x:sz val="15"/>
      <x:color rgb="FF352C33"/>
      <x:name val="Arial"/>
    </x:font>
    <x:font>
      <x:i/>
      <x:sz val="10"/>
      <x:color rgb="FF746B71"/>
      <x:name val="Arial"/>
    </x:font>
    <x:font>
      <x:sz val="10"/>
      <x:color rgb="FF2463A6"/>
      <x:name val="Arial"/>
    </x:font>
    <x:font>
      <x:b/>
      <x:sz val="10"/>
      <x:color rgb="FFFFFFFF"/>
      <x:name val="Arial"/>
    </x:font>
    <x:font>
      <x:i/>
      <x:sz val="10"/>
      <x:color rgb="FF352C33"/>
      <x:name val="Arial"/>
    </x:font>
    <x:font>
      <x:i/>
      <x:sz val="10"/>
      <x:color rgb="FF2463A6"/>
      <x:name val="Arial"/>
    </x:font>
    <x:font>
      <x:sz val="10"/>
      <x:color rgb="FF287449"/>
      <x:name val="Arial"/>
    </x:font>
    <x:font>
      <x:sz val="10"/>
      <x:color rgb="FF000000"/>
      <x:name val="Arial"/>
    </x:font>
    <x:font>
      <x:b/>
      <x:sz val="10"/>
      <x:color rgb="FF352C33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B"/>
      </x:patternFill>
    </x:fill>
    <x:fill>
      <x:patternFill patternType="solid">
        <x:fgColor rgb="FFA24C71"/>
      </x:patternFill>
    </x:fill>
    <x:fill>
      <x:patternFill patternType="solid">
        <x:fgColor rgb="FFF5DDE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24C71"/>
      </x:bottom>
      <x:diagonal/>
    </x:border>
    <x:border>
      <x:left/>
      <x:right/>
      <x:top style="thin">
        <x:color rgb="FFD4A7B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1" fontId="11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vertical="center"/>
    </x:xf>
    <x:xf numFmtId="201" fontId="11" fillId="4" borderId="2" xfId="0" applyNumberFormat="1" applyFont="1" applyFill="1" applyBorder="1" applyAlignment="1">
      <x:alignment vertical="center"/>
    </x:xf>
    <x:xf numFmtId="200" fontId="11" fillId="4" borderId="2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0" fillId="4" borderId="0" xfId="0" applyNumberFormat="1" applyFont="1" applyFill="1" applyBorder="1" applyAlignment="1">
      <x:alignment vertical="center"/>
    </x:xf>
    <x:xf numFmtId="203" fontId="10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483759009f4d33" /><Relationship Type="http://schemas.openxmlformats.org/officeDocument/2006/relationships/theme" Target="/xl/theme/theme1.xml" Id="Rdfd00bcf83c546aa" /><Relationship Type="http://schemas.openxmlformats.org/officeDocument/2006/relationships/sharedStrings" Target="/xl/sharedStrings.xml" Id="Rfe644b7647e34a8d" /><Relationship Type="http://schemas.openxmlformats.org/officeDocument/2006/relationships/worksheet" Target="/xl/worksheets/sheet1.xml" Id="Rb9f2b56e20d246e8" /><Relationship Type="http://schemas.openxmlformats.org/officeDocument/2006/relationships/worksheet" Target="/xl/worksheets/sheet2.xml" Id="R17a416f76ebd416a" /><Relationship Type="http://schemas.openxmlformats.org/officeDocument/2006/relationships/worksheet" Target="/xl/worksheets/sheet3.xml" Id="R8bc423a03e40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24C71"/>
  </x:sheetPr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  <x:col min="3" max="3" width="3" hidden="0" customWidth="1"/>
    <x:col min="4" max="4" width="3" hidden="0" customWidth="1"/>
    <x:col min="5" max="5" width="35" hidden="0" customWidth="1"/>
    <x:col min="6" max="6" width="24" hidden="0" customWidth="1"/>
    <x:col min="7" max="7" width="3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Canal mayorista online</x:v>
      </x:c>
      <x:c r="B2" s="2"/>
      <x:c r="C2" s="2"/>
      <x:c r="D2" s="2"/>
      <x:c r="E2" s="2"/>
      <x:c r="F2" s="2"/>
      <x:c r="G2" s="2"/>
    </x:row>
    <x:row r="3" ht="24" customHeight="1">
      <x:c r="A3" s="5" t="str">
        <x:v>Marca Demo. Evaluación ficticia de la colección T27 en ARS.</x:v>
      </x:c>
      <x:c r="B3" s="4"/>
      <x:c r="C3" s="4"/>
      <x:c r="D3" s="4"/>
      <x:c r="E3" s="4"/>
      <x:c r="F3" s="4"/>
      <x:c r="G3" s="4"/>
    </x:row>
    <x:row r="4" ht="24" customHeight="1">
      <x:c r="A4" s="2"/>
      <x:c r="B4" s="2"/>
      <x:c r="C4" s="2"/>
      <x:c r="D4" s="2"/>
      <x:c r="E4" s="2"/>
      <x:c r="F4" s="2"/>
      <x:c r="G4" s="2"/>
    </x:row>
    <x:row r="5" ht="24" customHeight="1">
      <x:c r="A5" s="2" t="str">
        <x:v>Escenario seleccionado</x:v>
      </x:c>
      <x:c r="B5" s="18" t="str">
        <x:f>'Supuestos'!B35</x:f>
        <x:v>Escenario base demo</x:v>
      </x:c>
      <x:c r="C5" s="2"/>
      <x:c r="D5" s="2"/>
      <x:c r="E5" s="2" t="str">
        <x:v>Escenario seleccionado</x:v>
      </x:c>
      <x:c r="F5" s="18" t="str">
        <x:f>'Supuestos'!B42</x:f>
        <x:v>Escenario base demo</x:v>
      </x:c>
      <x:c r="G5" s="2"/>
    </x:row>
    <x:row r="6" ht="24" customHeight="1">
      <x:c r="A6" s="2"/>
      <x:c r="B6" s="2"/>
      <x:c r="C6" s="2"/>
      <x:c r="D6" s="2"/>
      <x:c r="E6" s="2"/>
      <x:c r="F6" s="2"/>
      <x:c r="G6" s="2"/>
    </x:row>
    <x:row r="7" ht="44" customHeight="1">
      <x:c r="A7" s="12" t="str">
        <x:v>Directo a todo el país</x:v>
      </x:c>
      <x:c r="B7" s="12" t="str">
        <x:v>Resultado</x:v>
      </x:c>
      <x:c r="C7" s="2"/>
      <x:c r="D7" s="2"/>
      <x:c r="E7" s="12" t="str">
        <x:v>Revendedoras online</x:v>
      </x:c>
      <x:c r="F7" s="12" t="str">
        <x:v>Resultado</x:v>
      </x:c>
      <x:c r="G7" s="2"/>
    </x:row>
    <x:row r="8" ht="24" customHeight="1">
      <x:c r="A8" s="31" t="str">
        <x:v>Resultado de la evaluación</x:v>
      </x:c>
      <x:c r="B8" s="41" t="n">
        <x:f>B22-B23</x:f>
        <x:v>9323984.166666668</x:v>
      </x:c>
      <x:c r="C8" s="2"/>
      <x:c r="D8" s="2"/>
      <x:c r="E8" s="31" t="str">
        <x:v>Resultado de la evaluación</x:v>
      </x:c>
      <x:c r="F8" s="41" t="n">
        <x:f>F22-F23</x:f>
        <x:v>6654405.916666664</x:v>
      </x:c>
      <x:c r="G8" s="2"/>
    </x:row>
    <x:row r="9" ht="24" customHeight="1">
      <x:c r="A9" s="28" t="str">
        <x:v>Resultado por mes</x:v>
      </x:c>
      <x:c r="B9" s="40" t="n">
        <x:f>B8/B26</x:f>
        <x:v>1864796.8333333335</x:v>
      </x:c>
      <x:c r="C9" s="2"/>
      <x:c r="D9" s="2"/>
      <x:c r="E9" s="28" t="str">
        <x:v>Resultado por mes</x:v>
      </x:c>
      <x:c r="F9" s="40" t="n">
        <x:f>F8/F26</x:f>
        <x:v>1330881.1833333329</x:v>
      </x:c>
      <x:c r="G9" s="2"/>
    </x:row>
    <x:row r="10" ht="24" customHeight="1">
      <x:c r="A10" s="28" t="str">
        <x:v>Capital en inventario</x:v>
      </x:c>
      <x:c r="B10" s="40" t="n">
        <x:f>'Supuestos'!C35*'Supuestos'!$C$19*'Modelos'!D17</x:f>
        <x:v>1413220.25</x:v>
      </x:c>
      <x:c r="C10" s="2"/>
      <x:c r="D10" s="2"/>
      <x:c r="E10" s="28" t="str">
        <x:v>Capital en inventario</x:v>
      </x:c>
      <x:c r="F10" s="40" t="n">
        <x:f>F27*'Modelos'!D17</x:f>
        <x:v>952615.1314814814</x:v>
      </x:c>
      <x:c r="G10" s="2"/>
    </x:row>
    <x:row r="11" ht="24" customHeight="1">
      <x:c r="A11" s="2"/>
      <x:c r="B11" s="37"/>
      <x:c r="C11" s="2"/>
      <x:c r="D11" s="2"/>
      <x:c r="E11" s="2"/>
      <x:c r="F11" s="37"/>
      <x:c r="G11" s="2"/>
    </x:row>
    <x:row r="12" ht="24" customHeight="1">
      <x:c r="A12" s="2"/>
      <x:c r="B12" s="37"/>
      <x:c r="C12" s="2"/>
      <x:c r="D12" s="2"/>
      <x:c r="E12" s="2"/>
      <x:c r="F12" s="37"/>
      <x:c r="G12" s="2"/>
    </x:row>
    <x:row r="13" ht="24" customHeight="1">
      <x:c r="A13" s="2" t="str">
        <x:v>Prendas del período</x:v>
      </x:c>
      <x:c r="B13" s="38" t="n">
        <x:f>'Supuestos'!C35*'Supuestos'!$C$25</x:f>
        <x:v>90</x:v>
      </x:c>
      <x:c r="C13" s="2"/>
      <x:c r="D13" s="2"/>
      <x:c r="E13" s="2" t="str">
        <x:v>Prendas del período</x:v>
      </x:c>
      <x:c r="F13" s="38" t="n">
        <x:f>'Supuestos'!C42*'Supuestos'!D42</x:f>
        <x:v>91</x:v>
      </x:c>
      <x:c r="G13" s="2"/>
    </x:row>
    <x:row r="14" ht="24" customHeight="1">
      <x:c r="A14" s="2" t="str">
        <x:v>Precio por prenda</x:v>
      </x:c>
      <x:c r="B14" s="37" t="n">
        <x:f>'Modelos'!C17</x:f>
        <x:v>218425.92592592593</x:v>
      </x:c>
      <x:c r="C14" s="2"/>
      <x:c r="D14" s="2"/>
      <x:c r="E14" s="2" t="str">
        <x:v>Precio por prenda</x:v>
      </x:c>
      <x:c r="F14" s="37" t="n">
        <x:f>'Modelos'!K17</x:f>
        <x:v>148529.62962962964</x:v>
      </x:c>
      <x:c r="G14" s="2"/>
    </x:row>
    <x:row r="15" ht="24" customHeight="1">
      <x:c r="A15" s="2" t="str">
        <x:v>Facturación</x:v>
      </x:c>
      <x:c r="B15" s="37" t="n">
        <x:f>B13*B14</x:f>
        <x:v>19658333.333333332</x:v>
      </x:c>
      <x:c r="C15" s="2"/>
      <x:c r="D15" s="2"/>
      <x:c r="E15" s="2" t="str">
        <x:v>Facturación</x:v>
      </x:c>
      <x:c r="F15" s="37" t="n">
        <x:f>F13*F14</x:f>
        <x:v>13516196.296296297</x:v>
      </x:c>
      <x:c r="G15" s="2"/>
    </x:row>
    <x:row r="16" ht="24" customHeight="1">
      <x:c r="A16" s="2" t="str">
        <x:v>Costo de fábrica por prenda</x:v>
      </x:c>
      <x:c r="B16" s="37" t="n">
        <x:f>'Modelos'!D17</x:f>
        <x:v>52341.49074074074</x:v>
      </x:c>
      <x:c r="C16" s="2"/>
      <x:c r="D16" s="2"/>
      <x:c r="E16" s="2" t="str">
        <x:v>Costo de fábrica por prenda</x:v>
      </x:c>
      <x:c r="F16" s="37" t="n">
        <x:f>'Modelos'!D17</x:f>
        <x:v>52341.49074074074</x:v>
      </x:c>
      <x:c r="G16" s="2"/>
    </x:row>
    <x:row r="17" ht="24" customHeight="1">
      <x:c r="A17" s="2" t="str">
        <x:v>Cobro online por prenda</x:v>
      </x:c>
      <x:c r="B17" s="37" t="n">
        <x:f>'Modelos'!F17</x:f>
        <x:v>13105.555555555555</x:v>
      </x:c>
      <x:c r="C17" s="2"/>
      <x:c r="D17" s="2"/>
      <x:c r="E17" s="2" t="str">
        <x:v>Cobro online por prenda</x:v>
      </x:c>
      <x:c r="F17" s="37" t="n">
        <x:f>'Modelos'!L17</x:f>
        <x:v>11139.72222222222</x:v>
      </x:c>
      <x:c r="G17" s="2"/>
    </x:row>
    <x:row r="18" ht="24" customHeight="1">
      <x:c r="A18" s="2" t="str">
        <x:v>Envío y cambios por prenda</x:v>
      </x:c>
      <x:c r="B18" s="37" t="n">
        <x:f>'Modelos'!G17</x:f>
        <x:v>7936</x:v>
      </x:c>
      <x:c r="C18" s="2"/>
      <x:c r="D18" s="2"/>
      <x:c r="E18" s="2" t="str">
        <x:v>Envío y cambios por prenda</x:v>
      </x:c>
      <x:c r="F18" s="37" t="n">
        <x:f>0</x:f>
        <x:v>0</x:v>
      </x:c>
      <x:c r="G18" s="2"/>
    </x:row>
    <x:row r="19" ht="24" customHeight="1">
      <x:c r="A19" s="2" t="str">
        <x:v>Fallas por prenda</x:v>
      </x:c>
      <x:c r="B19" s="37" t="n">
        <x:f>'Modelos'!H17</x:f>
        <x:v>3276.3888888888887</x:v>
      </x:c>
      <x:c r="C19" s="2"/>
      <x:c r="D19" s="2"/>
      <x:c r="E19" s="2" t="str">
        <x:v>Fallas por prenda</x:v>
      </x:c>
      <x:c r="F19" s="37" t="n">
        <x:f>0</x:f>
        <x:v>0</x:v>
      </x:c>
      <x:c r="G19" s="2"/>
    </x:row>
    <x:row r="20" ht="24" customHeight="1">
      <x:c r="A20" s="2" t="str">
        <x:v>Adquisición por prenda</x:v>
      </x:c>
      <x:c r="B20" s="37" t="n">
        <x:f>'Supuestos'!D35</x:f>
        <x:v>35000</x:v>
      </x:c>
      <x:c r="C20" s="2"/>
      <x:c r="D20" s="2"/>
      <x:c r="E20" s="2" t="str">
        <x:v>Adquisición por prenda</x:v>
      </x:c>
      <x:c r="F20" s="37" t="n">
        <x:f>0</x:f>
        <x:v>0</x:v>
      </x:c>
      <x:c r="G20" s="2"/>
    </x:row>
    <x:row r="21" ht="24" customHeight="1">
      <x:c r="A21" s="2" t="str">
        <x:v>Deja por prenda</x:v>
      </x:c>
      <x:c r="B21" s="37" t="n">
        <x:f>B14-SUM(B16:B20)</x:f>
        <x:v>106766.49074074074</x:v>
      </x:c>
      <x:c r="C21" s="2"/>
      <x:c r="D21" s="2"/>
      <x:c r="E21" s="2" t="str">
        <x:v>Deja por prenda</x:v>
      </x:c>
      <x:c r="F21" s="37" t="n">
        <x:f>'Modelos'!M17</x:f>
        <x:v>85048.41666666664</x:v>
      </x:c>
      <x:c r="G21" s="2"/>
    </x:row>
    <x:row r="22" ht="24" customHeight="1">
      <x:c r="A22" s="2" t="str">
        <x:v>Contribución del período</x:v>
      </x:c>
      <x:c r="B22" s="37" t="n">
        <x:f>B13*B21</x:f>
        <x:v>9608984.166666668</x:v>
      </x:c>
      <x:c r="C22" s="2"/>
      <x:c r="D22" s="2"/>
      <x:c r="E22" s="2" t="str">
        <x:v>Contribución del período</x:v>
      </x:c>
      <x:c r="F22" s="37" t="n">
        <x:f>F13*F21</x:f>
        <x:v>7739405.916666664</x:v>
      </x:c>
      <x:c r="G22" s="2"/>
    </x:row>
    <x:row r="23" ht="24" customHeight="1">
      <x:c r="A23" s="2" t="str">
        <x:v>Costos de lanzamiento</x:v>
      </x:c>
      <x:c r="B23" s="37" t="n">
        <x:f>'Supuestos'!$C$24</x:f>
        <x:v>285000</x:v>
      </x:c>
      <x:c r="C23" s="2"/>
      <x:c r="D23" s="2"/>
      <x:c r="E23" s="2" t="str">
        <x:v>Costos de lanzamiento</x:v>
      </x:c>
      <x:c r="F23" s="37" t="n">
        <x:f>'Supuestos'!$C$24+'Supuestos'!$C$23*'Supuestos'!$C$25</x:f>
        <x:v>1085000</x:v>
      </x:c>
      <x:c r="G23" s="2"/>
    </x:row>
    <x:row r="24" ht="24" customHeight="1">
      <x:c r="A24" s="2"/>
      <x:c r="B24" s="37"/>
      <x:c r="C24" s="2"/>
      <x:c r="D24" s="2"/>
      <x:c r="E24" s="2"/>
      <x:c r="F24" s="37"/>
      <x:c r="G24" s="2"/>
    </x:row>
    <x:row r="25" ht="24" customHeight="1">
      <x:c r="A25" s="2"/>
      <x:c r="B25" s="37"/>
      <x:c r="C25" s="2"/>
      <x:c r="D25" s="2"/>
      <x:c r="E25" s="2"/>
      <x:c r="F25" s="37"/>
      <x:c r="G25" s="2"/>
    </x:row>
    <x:row r="26" ht="24" customHeight="1">
      <x:c r="A26" s="2" t="str">
        <x:v>Horizonte (meses)</x:v>
      </x:c>
      <x:c r="B26" s="38" t="n">
        <x:f>'Supuestos'!$C$25</x:f>
        <x:v>5</x:v>
      </x:c>
      <x:c r="C26" s="2"/>
      <x:c r="D26" s="2"/>
      <x:c r="E26" s="2" t="str">
        <x:v>Horizonte (meses)</x:v>
      </x:c>
      <x:c r="F26" s="38" t="n">
        <x:f>'Supuestos'!$C$25</x:f>
        <x:v>5</x:v>
      </x:c>
      <x:c r="G26" s="2"/>
    </x:row>
    <x:row r="27" ht="24" customHeight="1">
      <x:c r="A27" s="2" t="str">
        <x:v>Producción por mes</x:v>
      </x:c>
      <x:c r="B27" s="38" t="n">
        <x:f>'Supuestos'!C35</x:f>
        <x:v>18</x:v>
      </x:c>
      <x:c r="C27" s="2"/>
      <x:c r="D27" s="2"/>
      <x:c r="E27" s="2" t="str">
        <x:v>Producción por mes</x:v>
      </x:c>
      <x:c r="F27" s="38" t="n">
        <x:f>F13/F26</x:f>
        <x:v>18.2</x:v>
      </x:c>
      <x:c r="G27" s="2"/>
    </x:row>
    <x:row r="28" ht="24" customHeight="1">
      <x:c r="A28" s="2" t="str">
        <x:v>Uso de capacidad mensual</x:v>
      </x:c>
      <x:c r="B28" s="24" t="n">
        <x:f>B27/'Supuestos'!$C$26</x:f>
        <x:v>0.25</x:v>
      </x:c>
      <x:c r="C28" s="2"/>
      <x:c r="D28" s="2"/>
      <x:c r="E28" s="2" t="str">
        <x:v>Uso de capacidad mensual</x:v>
      </x:c>
      <x:c r="F28" s="24" t="n">
        <x:f>F27/'Supuestos'!$C$26</x:f>
        <x:v>0.25277777777777777</x:v>
      </x:c>
      <x:c r="G28" s="2"/>
    </x:row>
    <x:row r="29" ht="24" customHeight="1">
      <x:c r="A29" s="2"/>
      <x:c r="B29" s="2"/>
      <x:c r="C29" s="2"/>
      <x:c r="D29" s="2"/>
      <x:c r="E29" s="2"/>
      <x:c r="F29" s="2"/>
      <x:c r="G29" s="2"/>
    </x:row>
    <x:row r="30" ht="24" customHeight="1">
      <x:c r="A30" s="8" t="str">
        <x:v>Resultados de una evaluación comercial. No son ventas registradas.</x:v>
      </x:c>
      <x:c r="B30" s="2"/>
      <x:c r="C30" s="2"/>
      <x:c r="D30" s="2"/>
      <x:c r="E30" s="2"/>
      <x:c r="F30" s="2"/>
      <x:c r="G30" s="2"/>
    </x:row>
    <x:row r="31" ht="24" customHeight="1">
      <x:c r="A31" s="2"/>
      <x:c r="B31" s="2"/>
      <x:c r="C31" s="2"/>
      <x:c r="D31" s="2"/>
      <x:c r="E31" s="2"/>
      <x:c r="F31" s="2"/>
      <x:c r="G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A6B9"/>
  </x:sheetPr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20" hidden="0" customWidth="1"/>
    <x:col min="4" max="4" width="14" hidden="0" customWidth="1"/>
    <x:col min="5" max="5" width="19" hidden="0" customWidth="1"/>
    <x:col min="6" max="6" width="1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4" customHeight="1">
      <x:c r="A2" s="3" t="str">
        <x:v>Supuestos ficticios</x:v>
      </x:c>
      <x:c r="B2" s="2"/>
      <x:c r="C2" s="2"/>
      <x:c r="D2" s="2"/>
      <x:c r="E2" s="2"/>
      <x:c r="F2" s="2"/>
    </x:row>
    <x:row r="3" ht="24" customHeight="1">
      <x:c r="A3" s="5" t="str">
        <x:v>Marca Demo. Importes en ARS. Datos sintéticos al 20/10/2026.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 t="str">
        <x:v>Escenario activo</x:v>
      </x:c>
      <x:c r="B5" s="2"/>
      <x:c r="C5" s="7" t="n">
        <x:v>2</x:v>
      </x:c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8" t="str">
        <x:v>Azul y ámbar: entradas editables. Verde: fórmulas que leen otra hoja.</x:v>
      </x:c>
      <x:c r="B7" s="2"/>
      <x:c r="C7" s="2"/>
      <x:c r="D7" s="2"/>
      <x:c r="E7" s="2"/>
      <x:c r="F7" s="2"/>
    </x:row>
    <x:row r="8" ht="24" customHeight="1">
      <x:c r="A8" s="2"/>
      <x:c r="B8" s="2"/>
      <x:c r="C8" s="2"/>
      <x:c r="D8" s="2"/>
      <x:c r="E8" s="2"/>
      <x:c r="F8" s="2"/>
    </x:row>
    <x:row r="9" ht="44" customHeight="1">
      <x:c r="A9" s="12" t="str">
        <x:v>Clave</x:v>
      </x:c>
      <x:c r="B9" s="12" t="str">
        <x:v>Supuesto</x:v>
      </x:c>
      <x:c r="C9" s="12" t="str">
        <x:v>Valor</x:v>
      </x:c>
      <x:c r="D9" s="12" t="str">
        <x:v>Unidad</x:v>
      </x:c>
      <x:c r="E9" s="2"/>
      <x:c r="F9" s="2"/>
    </x:row>
    <x:row r="10" ht="24" customHeight="1">
      <x:c r="A10" s="2" t="str">
        <x:v>fijoPct</x:v>
      </x:c>
      <x:c r="B10" s="14" t="str">
        <x:v>Costos fijos sobre facturación</x:v>
      </x:c>
      <x:c r="C10" s="15" t="n">
        <x:v>0.27</x:v>
      </x:c>
      <x:c r="D10" s="2" t="str"/>
      <x:c r="E10" s="2"/>
      <x:c r="F10" s="2"/>
    </x:row>
    <x:row r="11" ht="24" customHeight="1">
      <x:c r="A11" s="2" t="str">
        <x:v>umbral</x:v>
      </x:c>
      <x:c r="B11" s="14" t="str">
        <x:v>Margen mínimo de la colección</x:v>
      </x:c>
      <x:c r="C11" s="15" t="n">
        <x:v>0.48</x:v>
      </x:c>
      <x:c r="D11" s="2" t="str"/>
      <x:c r="E11" s="2"/>
      <x:c r="F11" s="2"/>
    </x:row>
    <x:row r="12" ht="24" customHeight="1">
      <x:c r="A12" s="2" t="str">
        <x:v>comOn</x:v>
      </x:c>
      <x:c r="B12" s="14" t="str">
        <x:v>Comisión de cobro online</x:v>
      </x:c>
      <x:c r="C12" s="15" t="n">
        <x:v>0.06</x:v>
      </x:c>
      <x:c r="D12" s="2" t="str"/>
      <x:c r="E12" s="2"/>
      <x:c r="F12" s="2"/>
    </x:row>
    <x:row r="13" ht="24" customHeight="1">
      <x:c r="A13" s="2" t="str">
        <x:v>envOn</x:v>
      </x:c>
      <x:c r="B13" s="2" t="str">
        <x:v>Envío online por pedido</x:v>
      </x:c>
      <x:c r="C13" s="16" t="n">
        <x:v>6400</x:v>
      </x:c>
      <x:c r="D13" s="2" t="str">
        <x:v>ARS</x:v>
      </x:c>
      <x:c r="E13" s="2"/>
      <x:c r="F13" s="2"/>
    </x:row>
    <x:row r="14" ht="24" customHeight="1">
      <x:c r="A14" s="2" t="str">
        <x:v>camb</x:v>
      </x:c>
      <x:c r="B14" s="14" t="str">
        <x:v>Tasa de cambios</x:v>
      </x:c>
      <x:c r="C14" s="15" t="n">
        <x:v>0.12</x:v>
      </x:c>
      <x:c r="D14" s="2" t="str"/>
      <x:c r="E14" s="2"/>
      <x:c r="F14" s="2"/>
    </x:row>
    <x:row r="15" ht="24" customHeight="1">
      <x:c r="A15" s="2" t="str">
        <x:v>devol</x:v>
      </x:c>
      <x:c r="B15" s="14" t="str">
        <x:v>Fallas y devoluciones</x:v>
      </x:c>
      <x:c r="C15" s="15" t="n">
        <x:v>0.015</x:v>
      </x:c>
      <x:c r="D15" s="2" t="str"/>
      <x:c r="E15" s="2"/>
      <x:c r="F15" s="2"/>
    </x:row>
    <x:row r="16" ht="24" customHeight="1">
      <x:c r="A16" s="2" t="str">
        <x:v>cpc</x:v>
      </x:c>
      <x:c r="B16" s="2" t="str">
        <x:v>Costo por clic</x:v>
      </x:c>
      <x:c r="C16" s="16" t="n">
        <x:v>280</x:v>
      </x:c>
      <x:c r="D16" s="2" t="str">
        <x:v>ARS</x:v>
      </x:c>
      <x:c r="E16" s="2"/>
      <x:c r="F16" s="2"/>
    </x:row>
    <x:row r="17" ht="24" customHeight="1">
      <x:c r="A17" s="2" t="str">
        <x:v>conv</x:v>
      </x:c>
      <x:c r="B17" s="14" t="str">
        <x:v>Conversión de visitas</x:v>
      </x:c>
      <x:c r="C17" s="15" t="n">
        <x:v>0.008</x:v>
      </x:c>
      <x:c r="D17" s="2" t="str"/>
      <x:c r="E17" s="2"/>
      <x:c r="F17" s="2"/>
    </x:row>
    <x:row r="18" ht="24" customHeight="1">
      <x:c r="A18" s="2" t="str">
        <x:v>cac</x:v>
      </x:c>
      <x:c r="B18" s="2" t="str">
        <x:v>Adquisición por venta nueva</x:v>
      </x:c>
      <x:c r="C18" s="16" t="n">
        <x:v>35000</x:v>
      </x:c>
      <x:c r="D18" s="2" t="str">
        <x:v>ARS</x:v>
      </x:c>
      <x:c r="E18" s="2"/>
      <x:c r="F18" s="2"/>
    </x:row>
    <x:row r="19" ht="24" customHeight="1">
      <x:c r="A19" s="2" t="str">
        <x:v>mesesStock</x:v>
      </x:c>
      <x:c r="B19" s="2" t="str">
        <x:v>Cobertura de inventario</x:v>
      </x:c>
      <x:c r="C19" s="17" t="n">
        <x:v>1.5</x:v>
      </x:c>
      <x:c r="D19" s="2" t="str">
        <x:v>meses</x:v>
      </x:c>
      <x:c r="E19" s="2"/>
      <x:c r="F19" s="2"/>
    </x:row>
    <x:row r="20" ht="24" customHeight="1">
      <x:c r="A20" s="2" t="str">
        <x:v>recompra</x:v>
      </x:c>
      <x:c r="B20" s="14" t="str">
        <x:v>Recompra</x:v>
      </x:c>
      <x:c r="C20" s="15" t="n">
        <x:v>0.18</x:v>
      </x:c>
      <x:c r="D20" s="2" t="str"/>
      <x:c r="E20" s="2"/>
      <x:c r="F20" s="2"/>
    </x:row>
    <x:row r="21" ht="24" customHeight="1">
      <x:c r="A21" s="2" t="str">
        <x:v>prueba</x:v>
      </x:c>
      <x:c r="B21" s="2" t="str">
        <x:v>Presupuesto de prueba</x:v>
      </x:c>
      <x:c r="C21" s="16" t="n">
        <x:v>840000</x:v>
      </x:c>
      <x:c r="D21" s="2" t="str">
        <x:v>ARS</x:v>
      </x:c>
      <x:c r="E21" s="2"/>
      <x:c r="F21" s="2"/>
    </x:row>
    <x:row r="22" ht="24" customHeight="1">
      <x:c r="A22" s="2" t="str">
        <x:v>descRev</x:v>
      </x:c>
      <x:c r="B22" s="14" t="str">
        <x:v>Descuento a revendedora</x:v>
      </x:c>
      <x:c r="C22" s="15" t="n">
        <x:v>0.32</x:v>
      </x:c>
      <x:c r="D22" s="2" t="str"/>
      <x:c r="E22" s="2"/>
      <x:c r="F22" s="2"/>
    </x:row>
    <x:row r="23" ht="24" customHeight="1">
      <x:c r="A23" s="2" t="str">
        <x:v>pautaMay</x:v>
      </x:c>
      <x:c r="B23" s="2" t="str">
        <x:v>Publicidad mayorista mensual</x:v>
      </x:c>
      <x:c r="C23" s="16" t="n">
        <x:v>160000</x:v>
      </x:c>
      <x:c r="D23" s="2" t="str">
        <x:v>ARS</x:v>
      </x:c>
      <x:c r="E23" s="2"/>
      <x:c r="F23" s="2"/>
    </x:row>
    <x:row r="24" ht="24" customHeight="1">
      <x:c r="A24" s="2" t="str">
        <x:v>fotos</x:v>
      </x:c>
      <x:c r="B24" s="2" t="str">
        <x:v>Fotos de la colección</x:v>
      </x:c>
      <x:c r="C24" s="16" t="n">
        <x:v>285000</x:v>
      </x:c>
      <x:c r="D24" s="2" t="str">
        <x:v>ARS</x:v>
      </x:c>
      <x:c r="E24" s="2"/>
      <x:c r="F24" s="2"/>
    </x:row>
    <x:row r="25" ht="24" customHeight="1">
      <x:c r="A25" s="2" t="str">
        <x:v>meses</x:v>
      </x:c>
      <x:c r="B25" s="2" t="str">
        <x:v>Horizonte de evaluación</x:v>
      </x:c>
      <x:c r="C25" s="16" t="n">
        <x:v>5</x:v>
      </x:c>
      <x:c r="D25" s="2" t="str">
        <x:v>meses</x:v>
      </x:c>
      <x:c r="E25" s="2"/>
      <x:c r="F25" s="2"/>
    </x:row>
    <x:row r="26" ht="24" customHeight="1">
      <x:c r="A26" s="2" t="str">
        <x:v>cap</x:v>
      </x:c>
      <x:c r="B26" s="2" t="str">
        <x:v>Capacidad de producción mensual</x:v>
      </x:c>
      <x:c r="C26" s="16" t="n">
        <x:v>72</x:v>
      </x:c>
      <x:c r="D26" s="2" t="str">
        <x:v>prendas</x:v>
      </x:c>
      <x:c r="E26" s="2"/>
      <x:c r="F26" s="2"/>
    </x:row>
    <x:row r="27" ht="24" customHeight="1">
      <x:c r="A27" s="2" t="str">
        <x:v>mult</x:v>
      </x:c>
      <x:c r="B27" s="2" t="str">
        <x:v>Multiplicador del precio minorista</x:v>
      </x:c>
      <x:c r="C27" s="17" t="n">
        <x:v>2.1</x:v>
      </x:c>
      <x:c r="D27" s="2" t="str">
        <x:v>veces</x:v>
      </x:c>
      <x:c r="E27" s="2"/>
      <x:c r="F27" s="2"/>
    </x:row>
    <x:row r="28" ht="24" customHeight="1">
      <x:c r="A28" s="2" t="str">
        <x:v>log</x:v>
      </x:c>
      <x:c r="B28" s="2" t="str">
        <x:v>Logística por prenda</x:v>
      </x:c>
      <x:c r="C28" s="16" t="n">
        <x:v>1900</x:v>
      </x:c>
      <x:c r="D28" s="2" t="str">
        <x:v>ARS</x:v>
      </x:c>
      <x:c r="E28" s="2"/>
      <x:c r="F28" s="2"/>
    </x:row>
    <x:row r="29" ht="24" customHeight="1">
      <x:c r="A29" s="2" t="str">
        <x:v>tasa</x:v>
      </x:c>
      <x:c r="B29" s="14" t="str">
        <x:v>Costo financiero mensual</x:v>
      </x:c>
      <x:c r="C29" s="15" t="n">
        <x:v>0.021</x:v>
      </x:c>
      <x:c r="D29" s="2" t="str"/>
      <x:c r="E29" s="2"/>
      <x:c r="F29" s="2"/>
    </x:row>
    <x:row r="30" ht="24" customHeight="1">
      <x:c r="A30" s="2" t="str">
        <x:v>plazo</x:v>
      </x:c>
      <x:c r="B30" s="2" t="str">
        <x:v>Plazo en compra en firme</x:v>
      </x:c>
      <x:c r="C30" s="16" t="n">
        <x:v>45</x:v>
      </x:c>
      <x:c r="D30" s="2" t="str">
        <x:v>días</x:v>
      </x:c>
      <x:c r="E30" s="2"/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8" t="str">
        <x:v>Fuente: catálogo y supuestos de la demostración. Todos los valores son inventados.</x:v>
      </x:c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31" t="str">
        <x:v>Directo activo</x:v>
      </x:c>
      <x:c r="B35" s="36" t="str">
        <x:f>INDEX(B37:B39,$C$5)</x:f>
        <x:v>Escenario base demo</x:v>
      </x:c>
      <x:c r="C35" s="36" t="n">
        <x:f>INDEX(C37:C39,$C$5)</x:f>
        <x:v>18</x:v>
      </x:c>
      <x:c r="D35" s="32" t="n">
        <x:f>INDEX(D37:D39,$C$5)</x:f>
        <x:v>35000</x:v>
      </x:c>
      <x:c r="E35" s="2"/>
      <x:c r="F35" s="2"/>
    </x:row>
    <x:row r="36" ht="44" customHeight="1">
      <x:c r="A36" s="12" t="str">
        <x:v>N.º</x:v>
      </x:c>
      <x:c r="B36" s="12" t="str">
        <x:v>Escenario directo</x:v>
      </x:c>
      <x:c r="C36" s="12" t="str">
        <x:v>Ventas por mes</x:v>
      </x:c>
      <x:c r="D36" s="12" t="str">
        <x:v>CAC por venta</x:v>
      </x:c>
      <x:c r="E36" s="2"/>
      <x:c r="F36" s="2"/>
    </x:row>
    <x:row r="37" ht="24" customHeight="1">
      <x:c r="A37" s="2" t="n">
        <x:v>1</x:v>
      </x:c>
      <x:c r="B37" s="2" t="str">
        <x:v>Piloto demo</x:v>
      </x:c>
      <x:c r="C37" s="7" t="n">
        <x:v>7</x:v>
      </x:c>
      <x:c r="D37" s="16" t="n">
        <x:v>35000</x:v>
      </x:c>
      <x:c r="E37" s="2"/>
      <x:c r="F37" s="2"/>
    </x:row>
    <x:row r="38" ht="24" customHeight="1">
      <x:c r="A38" s="2" t="n">
        <x:v>2</x:v>
      </x:c>
      <x:c r="B38" s="2" t="str">
        <x:v>Escenario base demo</x:v>
      </x:c>
      <x:c r="C38" s="7" t="n">
        <x:v>18</x:v>
      </x:c>
      <x:c r="D38" s="16" t="n">
        <x:v>35000</x:v>
      </x:c>
      <x:c r="E38" s="2"/>
      <x:c r="F38" s="2"/>
    </x:row>
    <x:row r="39" ht="24" customHeight="1">
      <x:c r="A39" s="2" t="n">
        <x:v>3</x:v>
      </x:c>
      <x:c r="B39" s="2" t="str">
        <x:v>Escenario ampliado demo</x:v>
      </x:c>
      <x:c r="C39" s="7" t="n">
        <x:v>32</x:v>
      </x:c>
      <x:c r="D39" s="16" t="n">
        <x:v>41000</x:v>
      </x:c>
      <x:c r="E39" s="2"/>
      <x:c r="F39" s="2"/>
    </x:row>
    <x:row r="40" ht="24" customHeight="1">
      <x:c r="A40" s="2"/>
      <x:c r="B40" s="2"/>
      <x:c r="C40" s="2"/>
      <x:c r="D40" s="2"/>
      <x:c r="E40" s="2"/>
      <x:c r="F40" s="2"/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31" t="str">
        <x:v>Rev. activo</x:v>
      </x:c>
      <x:c r="B42" s="36" t="str">
        <x:f>INDEX(B44:B46,$C$5)</x:f>
        <x:v>Escenario base demo</x:v>
      </x:c>
      <x:c r="C42" s="36" t="n">
        <x:f>INDEX(C44:C46,$C$5)</x:f>
        <x:v>7</x:v>
      </x:c>
      <x:c r="D42" s="36" t="n">
        <x:f>INDEX(D44:D46,$C$5)</x:f>
        <x:v>13</x:v>
      </x:c>
      <x:c r="E42" s="2"/>
      <x:c r="F42" s="2"/>
    </x:row>
    <x:row r="43" ht="44" customHeight="1">
      <x:c r="A43" s="12" t="str">
        <x:v>N.º</x:v>
      </x:c>
      <x:c r="B43" s="12" t="str">
        <x:v>Escenario revendedoras</x:v>
      </x:c>
      <x:c r="C43" s="12" t="str">
        <x:v>Revendedoras</x:v>
      </x:c>
      <x:c r="D43" s="12" t="str">
        <x:v>Prendas por revendedora</x:v>
      </x:c>
      <x:c r="E43" s="2"/>
      <x:c r="F43" s="2"/>
    </x:row>
    <x:row r="44" ht="24" customHeight="1">
      <x:c r="A44" s="2" t="n">
        <x:v>1</x:v>
      </x:c>
      <x:c r="B44" s="2" t="str">
        <x:v>Piloto demo</x:v>
      </x:c>
      <x:c r="C44" s="7" t="n">
        <x:v>4</x:v>
      </x:c>
      <x:c r="D44" s="7" t="n">
        <x:v>7</x:v>
      </x:c>
      <x:c r="E44" s="2"/>
      <x:c r="F44" s="2"/>
    </x:row>
    <x:row r="45" ht="24" customHeight="1">
      <x:c r="A45" s="2" t="n">
        <x:v>2</x:v>
      </x:c>
      <x:c r="B45" s="2" t="str">
        <x:v>Escenario base demo</x:v>
      </x:c>
      <x:c r="C45" s="7" t="n">
        <x:v>7</x:v>
      </x:c>
      <x:c r="D45" s="7" t="n">
        <x:v>13</x:v>
      </x:c>
      <x:c r="E45" s="2"/>
      <x:c r="F45" s="2"/>
    </x:row>
    <x:row r="46" ht="24" customHeight="1">
      <x:c r="A46" s="2" t="n">
        <x:v>3</x:v>
      </x:c>
      <x:c r="B46" s="2" t="str">
        <x:v>Escenario ampliado demo</x:v>
      </x:c>
      <x:c r="C46" s="7" t="n">
        <x:v>12</x:v>
      </x:c>
      <x:c r="D46" s="7" t="n">
        <x:v>15</x:v>
      </x:c>
      <x:c r="E46" s="2"/>
      <x:c r="F46" s="2"/>
    </x:row>
    <x:row r="47" ht="24" customHeight="1">
      <x:c r="A47" s="2"/>
      <x:c r="B47" s="2"/>
      <x:c r="C47" s="2"/>
      <x:c r="D47" s="2"/>
      <x:c r="E47" s="2"/>
      <x:c r="F47" s="2"/>
    </x:row>
    <x:row r="48" ht="24" customHeight="1">
      <x:c r="A48" s="2"/>
      <x:c r="B48" s="2"/>
      <x:c r="C48" s="2"/>
      <x:c r="D48" s="2"/>
      <x:c r="E48" s="2"/>
      <x:c r="F48" s="2"/>
    </x:row>
    <x:row r="49" ht="24" customHeight="1">
      <x:c r="A49" s="2"/>
      <x:c r="B49" s="2"/>
      <x:c r="C49" s="2"/>
      <x:c r="D49" s="2"/>
      <x:c r="E49" s="2"/>
      <x:c r="F49" s="2"/>
    </x:row>
  </x:sheetData>
  <x:dataValidations count="1">
    <x:dataValidation type="whole" operator="between" sqref="C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7D8D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4" customHeight="1">
      <x:c r="A2" s="3" t="str">
        <x:v>Resultado por modelo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4" customHeight="1">
      <x:c r="A3" s="5" t="str">
        <x:v>Catálogo ficticio. El promedio pondera por producción sólo los modelos que cumplen el margen mínimo.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4" customHeight="1">
      <x:c r="A6" s="12" t="str">
        <x:v>Modelo</x:v>
      </x:c>
      <x:c r="B6" s="12" t="str">
        <x:v>Producción</x:v>
      </x:c>
      <x:c r="C6" s="12" t="str">
        <x:v>PVP</x:v>
      </x:c>
      <x:c r="D6" s="12" t="str">
        <x:v>Fábrica</x:v>
      </x:c>
      <x:c r="E6" s="12" t="str">
        <x:v>Deja minorista base</x:v>
      </x:c>
      <x:c r="F6" s="12" t="str">
        <x:v>Comisión online</x:v>
      </x:c>
      <x:c r="G6" s="12" t="str">
        <x:v>Envío y cambios</x:v>
      </x:c>
      <x:c r="H6" s="12" t="str">
        <x:v>Fallas online</x:v>
      </x:c>
      <x:c r="I6" s="12" t="str">
        <x:v>Adquisición</x:v>
      </x:c>
      <x:c r="J6" s="12" t="str">
        <x:v>Deja online</x:v>
      </x:c>
      <x:c r="K6" s="12" t="str">
        <x:v>Precio revendedora</x:v>
      </x:c>
      <x:c r="L6" s="12" t="str">
        <x:v>Cobro y fallas</x:v>
      </x:c>
      <x:c r="M6" s="12" t="str">
        <x:v>Deja revendedora</x:v>
      </x:c>
      <x:c r="N6" s="12" t="str">
        <x:v>Margen revendedora</x:v>
      </x:c>
      <x:c r="O6" s="12" t="str">
        <x:v>Entra colección</x:v>
      </x:c>
      <x:c r="P6" s="12" t="str">
        <x:v>Peso elegible</x:v>
      </x:c>
      <x:c r="Q6" s="12" t="str">
        <x:v>Precio multimarca</x:v>
      </x:c>
      <x:c r="R6" s="12" t="str">
        <x:v>Deja multimarca</x:v>
      </x:c>
    </x:row>
    <x:row r="7" ht="24" customHeight="1">
      <x:c r="A7" s="2" t="str">
        <x:v>Aurora</x:v>
      </x:c>
      <x:c r="B7" s="16" t="n">
        <x:v>48</x:v>
      </x:c>
      <x:c r="C7" s="16" t="n">
        <x:v>187000</x:v>
      </x:c>
      <x:c r="D7" s="16" t="n">
        <x:v>44448</x:v>
      </x:c>
      <x:c r="E7" s="16" t="n">
        <x:v>124932</x:v>
      </x:c>
      <x:c r="F7" s="21" t="n">
        <x:f>C7*'Supuestos'!$C$12</x:f>
        <x:v>11220</x:v>
      </x:c>
      <x:c r="G7" s="21" t="n">
        <x:f>'Supuestos'!$C$13*(1+2*'Supuestos'!$C$14)</x:f>
        <x:v>7936</x:v>
      </x:c>
      <x:c r="H7" s="21" t="n">
        <x:f>C7*'Supuestos'!$C$15</x:f>
        <x:v>2805</x:v>
      </x:c>
      <x:c r="I7" s="21" t="n">
        <x:f>'Supuestos'!$C$18</x:f>
        <x:v>35000</x:v>
      </x:c>
      <x:c r="J7" s="22" t="n">
        <x:f>C7-D7-SUM(F7:I7)</x:f>
        <x:v>85591</x:v>
      </x:c>
      <x:c r="K7" s="21" t="n">
        <x:f>C7*(1-'Supuestos'!$C$22)</x:f>
        <x:v>127159.99999999999</x:v>
      </x:c>
      <x:c r="L7" s="21" t="n">
        <x:f>K7*('Supuestos'!$C$12+'Supuestos'!$C$15)</x:f>
        <x:v>9536.999999999998</x:v>
      </x:c>
      <x:c r="M7" s="22" t="n">
        <x:f>K7-D7-L7</x:f>
        <x:v>73174.99999999999</x:v>
      </x:c>
      <x:c r="N7" s="23" t="n">
        <x:f>IF(K7&gt;0,M7/K7,0)</x:f>
        <x:v>0.5754561182761875</x:v>
      </x:c>
      <x:c r="O7" s="21" t="str">
        <x:f>IF(N7&gt;='Supuestos'!$C$11,"Sí","No")</x:f>
        <x:v>Sí</x:v>
      </x:c>
      <x:c r="P7" s="22" t="n">
        <x:f>IF(O7="Sí",B7,0)</x:f>
        <x:v>48</x:v>
      </x:c>
      <x:c r="Q7" s="21" t="n">
        <x:f>C7/'Supuestos'!$C$27</x:f>
        <x:v>89047.61904761904</x:v>
      </x:c>
      <x:c r="R7" s="21" t="n">
        <x:f>Q7-D7-'Supuestos'!$C$28-Q7*'Supuestos'!$C$29*'Supuestos'!$C$30/30-Q7*'Supuestos'!$C$15</x:f>
        <x:v>38558.904761904756</x:v>
      </x:c>
    </x:row>
    <x:row r="8" ht="24" customHeight="1">
      <x:c r="A8" s="2" t="str">
        <x:v>Bruma</x:v>
      </x:c>
      <x:c r="B8" s="16" t="n">
        <x:v>52</x:v>
      </x:c>
      <x:c r="C8" s="16" t="n">
        <x:v>213000</x:v>
      </x:c>
      <x:c r="D8" s="16" t="n">
        <x:v>46517</x:v>
      </x:c>
      <x:c r="E8" s="16" t="n">
        <x:v>147303</x:v>
      </x:c>
      <x:c r="F8" s="21" t="n">
        <x:f>C8*'Supuestos'!$C$12</x:f>
        <x:v>12780</x:v>
      </x:c>
      <x:c r="G8" s="21" t="n">
        <x:f>'Supuestos'!$C$13*(1+2*'Supuestos'!$C$14)</x:f>
        <x:v>7936</x:v>
      </x:c>
      <x:c r="H8" s="21" t="n">
        <x:f>C8*'Supuestos'!$C$15</x:f>
        <x:v>3195</x:v>
      </x:c>
      <x:c r="I8" s="21" t="n">
        <x:f>'Supuestos'!$C$18</x:f>
        <x:v>35000</x:v>
      </x:c>
      <x:c r="J8" s="22" t="n">
        <x:f>C8-D8-SUM(F8:I8)</x:f>
        <x:v>107572</x:v>
      </x:c>
      <x:c r="K8" s="21" t="n">
        <x:f>C8*(1-'Supuestos'!$C$22)</x:f>
        <x:v>144840</x:v>
      </x:c>
      <x:c r="L8" s="21" t="n">
        <x:f>K8*('Supuestos'!$C$12+'Supuestos'!$C$15)</x:f>
        <x:v>10863</x:v>
      </x:c>
      <x:c r="M8" s="22" t="n">
        <x:f>K8-D8-L8</x:f>
        <x:v>87460</x:v>
      </x:c>
      <x:c r="N8" s="23" t="n">
        <x:f>IF(K8&gt;0,M8/K8,0)</x:f>
        <x:v>0.603838718586026</x:v>
      </x:c>
      <x:c r="O8" s="21" t="str">
        <x:f>IF(N8&gt;='Supuestos'!$C$11,"Sí","No")</x:f>
        <x:v>Sí</x:v>
      </x:c>
      <x:c r="P8" s="22" t="n">
        <x:f>IF(O8="Sí",B8,0)</x:f>
        <x:v>52</x:v>
      </x:c>
      <x:c r="Q8" s="21" t="n">
        <x:f>C8/'Supuestos'!$C$27</x:f>
        <x:v>101428.57142857142</x:v>
      </x:c>
      <x:c r="R8" s="21" t="n">
        <x:f>Q8-D8-'Supuestos'!$C$28-Q8*'Supuestos'!$C$29*'Supuestos'!$C$30/30-Q8*'Supuestos'!$C$15</x:f>
        <x:v>48295.14285714285</x:v>
      </x:c>
    </x:row>
    <x:row r="9" ht="24" customHeight="1">
      <x:c r="A9" s="2" t="str">
        <x:v>Duna</x:v>
      </x:c>
      <x:c r="B9" s="16" t="n">
        <x:v>56</x:v>
      </x:c>
      <x:c r="C9" s="16" t="n">
        <x:v>169000</x:v>
      </x:c>
      <x:c r="D9" s="16" t="n">
        <x:v>48586</x:v>
      </x:c>
      <x:c r="E9" s="16" t="n">
        <x:v>103874</x:v>
      </x:c>
      <x:c r="F9" s="21" t="n">
        <x:f>C9*'Supuestos'!$C$12</x:f>
        <x:v>10140</x:v>
      </x:c>
      <x:c r="G9" s="21" t="n">
        <x:f>'Supuestos'!$C$13*(1+2*'Supuestos'!$C$14)</x:f>
        <x:v>7936</x:v>
      </x:c>
      <x:c r="H9" s="21" t="n">
        <x:f>C9*'Supuestos'!$C$15</x:f>
        <x:v>2535</x:v>
      </x:c>
      <x:c r="I9" s="21" t="n">
        <x:f>'Supuestos'!$C$18</x:f>
        <x:v>35000</x:v>
      </x:c>
      <x:c r="J9" s="22" t="n">
        <x:f>C9-D9-SUM(F9:I9)</x:f>
        <x:v>64803</x:v>
      </x:c>
      <x:c r="K9" s="21" t="n">
        <x:f>C9*(1-'Supuestos'!$C$22)</x:f>
        <x:v>114919.99999999999</x:v>
      </x:c>
      <x:c r="L9" s="21" t="n">
        <x:f>K9*('Supuestos'!$C$12+'Supuestos'!$C$15)</x:f>
        <x:v>8618.999999999998</x:v>
      </x:c>
      <x:c r="M9" s="22" t="n">
        <x:f>K9-D9-L9</x:f>
        <x:v>57714.999999999985</x:v>
      </x:c>
      <x:c r="N9" s="23" t="n">
        <x:f>IF(K9&gt;0,M9/K9,0)</x:f>
        <x:v>0.5022189349112426</x:v>
      </x:c>
      <x:c r="O9" s="21" t="str">
        <x:f>IF(N9&gt;='Supuestos'!$C$11,"Sí","No")</x:f>
        <x:v>Sí</x:v>
      </x:c>
      <x:c r="P9" s="22" t="n">
        <x:f>IF(O9="Sí",B9,0)</x:f>
        <x:v>56</x:v>
      </x:c>
      <x:c r="Q9" s="21" t="n">
        <x:f>C9/'Supuestos'!$C$27</x:f>
        <x:v>80476.19047619047</x:v>
      </x:c>
      <x:c r="R9" s="21" t="n">
        <x:f>Q9-D9-'Supuestos'!$C$28-Q9*'Supuestos'!$C$29*'Supuestos'!$C$30/30-Q9*'Supuestos'!$C$15</x:f>
        <x:v>26248.047619047615</x:v>
      </x:c>
    </x:row>
    <x:row r="10" ht="24" customHeight="1">
      <x:c r="A10" s="2" t="str">
        <x:v>Luma</x:v>
      </x:c>
      <x:c r="B10" s="16" t="n">
        <x:v>60</x:v>
      </x:c>
      <x:c r="C10" s="16" t="n">
        <x:v>246000</x:v>
      </x:c>
      <x:c r="D10" s="16" t="n">
        <x:v>50656</x:v>
      </x:c>
      <x:c r="E10" s="16" t="n">
        <x:v>174184</x:v>
      </x:c>
      <x:c r="F10" s="21" t="n">
        <x:f>C10*'Supuestos'!$C$12</x:f>
        <x:v>14760</x:v>
      </x:c>
      <x:c r="G10" s="21" t="n">
        <x:f>'Supuestos'!$C$13*(1+2*'Supuestos'!$C$14)</x:f>
        <x:v>7936</x:v>
      </x:c>
      <x:c r="H10" s="21" t="n">
        <x:f>C10*'Supuestos'!$C$15</x:f>
        <x:v>3690</x:v>
      </x:c>
      <x:c r="I10" s="21" t="n">
        <x:f>'Supuestos'!$C$18</x:f>
        <x:v>35000</x:v>
      </x:c>
      <x:c r="J10" s="22" t="n">
        <x:f>C10-D10-SUM(F10:I10)</x:f>
        <x:v>133958</x:v>
      </x:c>
      <x:c r="K10" s="21" t="n">
        <x:f>C10*(1-'Supuestos'!$C$22)</x:f>
        <x:v>167279.99999999997</x:v>
      </x:c>
      <x:c r="L10" s="21" t="n">
        <x:f>K10*('Supuestos'!$C$12+'Supuestos'!$C$15)</x:f>
        <x:v>12545.999999999998</x:v>
      </x:c>
      <x:c r="M10" s="22" t="n">
        <x:f>K10-D10-L10</x:f>
        <x:v>104077.99999999997</x:v>
      </x:c>
      <x:c r="N10" s="23" t="n">
        <x:f>IF(K10&gt;0,M10/K10,0)</x:f>
        <x:v>0.6221783835485413</x:v>
      </x:c>
      <x:c r="O10" s="21" t="str">
        <x:f>IF(N10&gt;='Supuestos'!$C$11,"Sí","No")</x:f>
        <x:v>Sí</x:v>
      </x:c>
      <x:c r="P10" s="22" t="n">
        <x:f>IF(O10="Sí",B10,0)</x:f>
        <x:v>60</x:v>
      </x:c>
      <x:c r="Q10" s="21" t="n">
        <x:f>C10/'Supuestos'!$C$27</x:f>
        <x:v>117142.85714285714</x:v>
      </x:c>
      <x:c r="R10" s="21" t="n">
        <x:f>Q10-D10-'Supuestos'!$C$28-Q10*'Supuestos'!$C$29*'Supuestos'!$C$30/30-Q10*'Supuestos'!$C$15</x:f>
        <x:v>59139.71428571429</x:v>
      </x:c>
    </x:row>
    <x:row r="11" ht="24" customHeight="1">
      <x:c r="A11" s="2" t="str">
        <x:v>Cedro</x:v>
      </x:c>
      <x:c r="B11" s="16" t="n">
        <x:v>64</x:v>
      </x:c>
      <x:c r="C11" s="16" t="n">
        <x:v>158000</x:v>
      </x:c>
      <x:c r="D11" s="16" t="n">
        <x:v>52725</x:v>
      </x:c>
      <x:c r="E11" s="16" t="n">
        <x:v>89395</x:v>
      </x:c>
      <x:c r="F11" s="21" t="n">
        <x:f>C11*'Supuestos'!$C$12</x:f>
        <x:v>9480</x:v>
      </x:c>
      <x:c r="G11" s="21" t="n">
        <x:f>'Supuestos'!$C$13*(1+2*'Supuestos'!$C$14)</x:f>
        <x:v>7936</x:v>
      </x:c>
      <x:c r="H11" s="21" t="n">
        <x:f>C11*'Supuestos'!$C$15</x:f>
        <x:v>2370</x:v>
      </x:c>
      <x:c r="I11" s="21" t="n">
        <x:f>'Supuestos'!$C$18</x:f>
        <x:v>35000</x:v>
      </x:c>
      <x:c r="J11" s="22" t="n">
        <x:f>C11-D11-SUM(F11:I11)</x:f>
        <x:v>50489</x:v>
      </x:c>
      <x:c r="K11" s="21" t="n">
        <x:f>C11*(1-'Supuestos'!$C$22)</x:f>
        <x:v>107439.99999999999</x:v>
      </x:c>
      <x:c r="L11" s="21" t="n">
        <x:f>K11*('Supuestos'!$C$12+'Supuestos'!$C$15)</x:f>
        <x:v>8057.999999999998</x:v>
      </x:c>
      <x:c r="M11" s="22" t="n">
        <x:f>K11-D11-L11</x:f>
        <x:v>46656.999999999985</x:v>
      </x:c>
      <x:c r="N11" s="23" t="n">
        <x:f>IF(K11&gt;0,M11/K11,0)</x:f>
        <x:v>0.43426098287416226</x:v>
      </x:c>
      <x:c r="O11" s="21" t="str">
        <x:f>IF(N11&gt;='Supuestos'!$C$11,"Sí","No")</x:f>
        <x:v>No</x:v>
      </x:c>
      <x:c r="P11" s="22" t="n">
        <x:f>IF(O11="Sí",B11,0)</x:f>
        <x:v>0</x:v>
      </x:c>
      <x:c r="Q11" s="21" t="n">
        <x:f>C11/'Supuestos'!$C$27</x:f>
        <x:v>75238.09523809524</x:v>
      </x:c>
      <x:c r="R11" s="21" t="n">
        <x:f>Q11-D11-'Supuestos'!$C$28-Q11*'Supuestos'!$C$29*'Supuestos'!$C$30/30-Q11*'Supuestos'!$C$15</x:f>
        <x:v>17114.52380952381</x:v>
      </x:c>
    </x:row>
    <x:row r="12" ht="24" customHeight="1">
      <x:c r="A12" s="2" t="str">
        <x:v>Oliva</x:v>
      </x:c>
      <x:c r="B12" s="16" t="n">
        <x:v>68</x:v>
      </x:c>
      <x:c r="C12" s="16" t="n">
        <x:v>224000</x:v>
      </x:c>
      <x:c r="D12" s="16" t="n">
        <x:v>54794</x:v>
      </x:c>
      <x:c r="E12" s="16" t="n">
        <x:v>149366</x:v>
      </x:c>
      <x:c r="F12" s="21" t="n">
        <x:f>C12*'Supuestos'!$C$12</x:f>
        <x:v>13440</x:v>
      </x:c>
      <x:c r="G12" s="21" t="n">
        <x:f>'Supuestos'!$C$13*(1+2*'Supuestos'!$C$14)</x:f>
        <x:v>7936</x:v>
      </x:c>
      <x:c r="H12" s="21" t="n">
        <x:f>C12*'Supuestos'!$C$15</x:f>
        <x:v>3360</x:v>
      </x:c>
      <x:c r="I12" s="21" t="n">
        <x:f>'Supuestos'!$C$18</x:f>
        <x:v>35000</x:v>
      </x:c>
      <x:c r="J12" s="22" t="n">
        <x:f>C12-D12-SUM(F12:I12)</x:f>
        <x:v>109470</x:v>
      </x:c>
      <x:c r="K12" s="21" t="n">
        <x:f>C12*(1-'Supuestos'!$C$22)</x:f>
        <x:v>152320</x:v>
      </x:c>
      <x:c r="L12" s="21" t="n">
        <x:f>K12*('Supuestos'!$C$12+'Supuestos'!$C$15)</x:f>
        <x:v>11424</x:v>
      </x:c>
      <x:c r="M12" s="22" t="n">
        <x:f>K12-D12-L12</x:f>
        <x:v>86102</x:v>
      </x:c>
      <x:c r="N12" s="23" t="n">
        <x:f>IF(K12&gt;0,M12/K12,0)</x:f>
        <x:v>0.5652704831932773</x:v>
      </x:c>
      <x:c r="O12" s="21" t="str">
        <x:f>IF(N12&gt;='Supuestos'!$C$11,"Sí","No")</x:f>
        <x:v>Sí</x:v>
      </x:c>
      <x:c r="P12" s="22" t="n">
        <x:f>IF(O12="Sí",B12,0)</x:f>
        <x:v>68</x:v>
      </x:c>
      <x:c r="Q12" s="21" t="n">
        <x:f>C12/'Supuestos'!$C$27</x:f>
        <x:v>106666.66666666666</x:v>
      </x:c>
      <x:c r="R12" s="21" t="n">
        <x:f>Q12-D12-'Supuestos'!$C$28-Q12*'Supuestos'!$C$29*'Supuestos'!$C$30/30-Q12*'Supuestos'!$C$15</x:f>
        <x:v>45012.66666666666</x:v>
      </x:c>
    </x:row>
    <x:row r="13" ht="24" customHeight="1">
      <x:c r="A13" s="2" t="str">
        <x:v>Prisma</x:v>
      </x:c>
      <x:c r="B13" s="16" t="n">
        <x:v>72</x:v>
      </x:c>
      <x:c r="C13" s="16" t="n">
        <x:v>198000</x:v>
      </x:c>
      <x:c r="D13" s="16" t="n">
        <x:v>56863</x:v>
      </x:c>
      <x:c r="E13" s="16" t="n">
        <x:v>122857</x:v>
      </x:c>
      <x:c r="F13" s="21" t="n">
        <x:f>C13*'Supuestos'!$C$12</x:f>
        <x:v>11880</x:v>
      </x:c>
      <x:c r="G13" s="21" t="n">
        <x:f>'Supuestos'!$C$13*(1+2*'Supuestos'!$C$14)</x:f>
        <x:v>7936</x:v>
      </x:c>
      <x:c r="H13" s="21" t="n">
        <x:f>C13*'Supuestos'!$C$15</x:f>
        <x:v>2970</x:v>
      </x:c>
      <x:c r="I13" s="21" t="n">
        <x:f>'Supuestos'!$C$18</x:f>
        <x:v>35000</x:v>
      </x:c>
      <x:c r="J13" s="22" t="n">
        <x:f>C13-D13-SUM(F13:I13)</x:f>
        <x:v>83351</x:v>
      </x:c>
      <x:c r="K13" s="21" t="n">
        <x:f>C13*(1-'Supuestos'!$C$22)</x:f>
        <x:v>134640</x:v>
      </x:c>
      <x:c r="L13" s="21" t="n">
        <x:f>K13*('Supuestos'!$C$12+'Supuestos'!$C$15)</x:f>
        <x:v>10098</x:v>
      </x:c>
      <x:c r="M13" s="22" t="n">
        <x:f>K13-D13-L13</x:f>
        <x:v>67679</x:v>
      </x:c>
      <x:c r="N13" s="23" t="n">
        <x:f>IF(K13&gt;0,M13/K13,0)</x:f>
        <x:v>0.5026663695781343</x:v>
      </x:c>
      <x:c r="O13" s="21" t="str">
        <x:f>IF(N13&gt;='Supuestos'!$C$11,"Sí","No")</x:f>
        <x:v>Sí</x:v>
      </x:c>
      <x:c r="P13" s="22" t="n">
        <x:f>IF(O13="Sí",B13,0)</x:f>
        <x:v>72</x:v>
      </x:c>
      <x:c r="Q13" s="21" t="n">
        <x:f>C13/'Supuestos'!$C$27</x:f>
        <x:v>94285.71428571428</x:v>
      </x:c>
      <x:c r="R13" s="21" t="n">
        <x:f>Q13-D13-'Supuestos'!$C$28-Q13*'Supuestos'!$C$29*'Supuestos'!$C$30/30-Q13*'Supuestos'!$C$15</x:f>
        <x:v>31138.42857142856</x:v>
      </x:c>
    </x:row>
    <x:row r="14" ht="24" customHeight="1">
      <x:c r="A14" s="2" t="str">
        <x:v>Senda</x:v>
      </x:c>
      <x:c r="B14" s="16" t="n">
        <x:v>76</x:v>
      </x:c>
      <x:c r="C14" s="16" t="n">
        <x:v>271000</x:v>
      </x:c>
      <x:c r="D14" s="16" t="n">
        <x:v>58932</x:v>
      </x:c>
      <x:c r="E14" s="16" t="n">
        <x:v>189408</x:v>
      </x:c>
      <x:c r="F14" s="21" t="n">
        <x:f>C14*'Supuestos'!$C$12</x:f>
        <x:v>16260</x:v>
      </x:c>
      <x:c r="G14" s="21" t="n">
        <x:f>'Supuestos'!$C$13*(1+2*'Supuestos'!$C$14)</x:f>
        <x:v>7936</x:v>
      </x:c>
      <x:c r="H14" s="21" t="n">
        <x:f>C14*'Supuestos'!$C$15</x:f>
        <x:v>4065</x:v>
      </x:c>
      <x:c r="I14" s="21" t="n">
        <x:f>'Supuestos'!$C$18</x:f>
        <x:v>35000</x:v>
      </x:c>
      <x:c r="J14" s="22" t="n">
        <x:f>C14-D14-SUM(F14:I14)</x:f>
        <x:v>148807</x:v>
      </x:c>
      <x:c r="K14" s="21" t="n">
        <x:f>C14*(1-'Supuestos'!$C$22)</x:f>
        <x:v>184279.99999999997</x:v>
      </x:c>
      <x:c r="L14" s="21" t="n">
        <x:f>K14*('Supuestos'!$C$12+'Supuestos'!$C$15)</x:f>
        <x:v>13820.999999999998</x:v>
      </x:c>
      <x:c r="M14" s="22" t="n">
        <x:f>K14-D14-L14</x:f>
        <x:v>111526.99999999997</x:v>
      </x:c>
      <x:c r="N14" s="23" t="n">
        <x:f>IF(K14&gt;0,M14/K14,0)</x:f>
        <x:v>0.6052040373344909</x:v>
      </x:c>
      <x:c r="O14" s="21" t="str">
        <x:f>IF(N14&gt;='Supuestos'!$C$11,"Sí","No")</x:f>
        <x:v>Sí</x:v>
      </x:c>
      <x:c r="P14" s="22" t="n">
        <x:f>IF(O14="Sí",B14,0)</x:f>
        <x:v>76</x:v>
      </x:c>
      <x:c r="Q14" s="21" t="n">
        <x:f>C14/'Supuestos'!$C$27</x:f>
        <x:v>129047.61904761904</x:v>
      </x:c>
      <x:c r="R14" s="21" t="n">
        <x:f>Q14-D14-'Supuestos'!$C$28-Q14*'Supuestos'!$C$29*'Supuestos'!$C$30/30-Q14*'Supuestos'!$C$15</x:f>
        <x:v>62214.904761904756</x:v>
      </x:c>
    </x:row>
    <x:row r="15" ht="24" customHeight="1">
      <x:c r="A15" s="2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  <x:c r="N15" s="24"/>
      <x:c r="O15" s="20"/>
      <x:c r="P15" s="20"/>
      <x:c r="Q15" s="20"/>
      <x:c r="R15" s="20"/>
    </x:row>
    <x:row r="16" ht="24" customHeight="1">
      <x:c r="A16" s="2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  <x:c r="N16" s="24"/>
      <x:c r="O16" s="20"/>
      <x:c r="P16" s="20"/>
      <x:c r="Q16" s="20"/>
      <x:c r="R16" s="20"/>
    </x:row>
    <x:row r="17" ht="24" customHeight="1">
      <x:c r="A17" s="31" t="str">
        <x:v>Promedio elegible</x:v>
      </x:c>
      <x:c r="B17" s="32" t="n">
        <x:f>SUM(P7:P14)</x:f>
        <x:v>432</x:v>
      </x:c>
      <x:c r="C17" s="32" t="n">
        <x:f>IF(SUM($P$7:$P$14)=0,0,SUMPRODUCT(C7:C14,$P$7:$P$14)/SUM($P$7:$P$14))</x:f>
        <x:v>218425.92592592593</x:v>
      </x:c>
      <x:c r="D17" s="32" t="n">
        <x:f>IF(SUM($P$7:$P$14)=0,0,SUMPRODUCT(D7:D14,$P$7:$P$14)/SUM($P$7:$P$14))</x:f>
        <x:v>52341.49074074074</x:v>
      </x:c>
      <x:c r="E17" s="32" t="n">
        <x:f>IF(SUM($P$7:$P$14)=0,0,SUMPRODUCT(E7:E14,$P$7:$P$14)/SUM($P$7:$P$14))</x:f>
        <x:v>146578.87962962964</x:v>
      </x:c>
      <x:c r="F17" s="32" t="n">
        <x:f>IF(SUM($P$7:$P$14)=0,0,SUMPRODUCT(F7:F14,$P$7:$P$14)/SUM($P$7:$P$14))</x:f>
        <x:v>13105.555555555555</x:v>
      </x:c>
      <x:c r="G17" s="32" t="n">
        <x:f>IF(SUM($P$7:$P$14)=0,0,SUMPRODUCT(G7:G14,$P$7:$P$14)/SUM($P$7:$P$14))</x:f>
        <x:v>7936</x:v>
      </x:c>
      <x:c r="H17" s="32" t="n">
        <x:f>IF(SUM($P$7:$P$14)=0,0,SUMPRODUCT(H7:H14,$P$7:$P$14)/SUM($P$7:$P$14))</x:f>
        <x:v>3276.3888888888887</x:v>
      </x:c>
      <x:c r="I17" s="32" t="n">
        <x:f>IF(SUM($P$7:$P$14)=0,0,SUMPRODUCT(I7:I14,$P$7:$P$14)/SUM($P$7:$P$14))</x:f>
        <x:v>35000</x:v>
      </x:c>
      <x:c r="J17" s="32" t="n">
        <x:f>IF(SUM($P$7:$P$14)=0,0,SUMPRODUCT(J7:J14,$P$7:$P$14)/SUM($P$7:$P$14))</x:f>
        <x:v>106766.49074074074</x:v>
      </x:c>
      <x:c r="K17" s="32" t="n">
        <x:f>IF(SUM($P$7:$P$14)=0,0,SUMPRODUCT(K7:K14,$P$7:$P$14)/SUM($P$7:$P$14))</x:f>
        <x:v>148529.62962962964</x:v>
      </x:c>
      <x:c r="L17" s="32" t="n">
        <x:f>IF(SUM($P$7:$P$14)=0,0,SUMPRODUCT(L7:L14,$P$7:$P$14)/SUM($P$7:$P$14))</x:f>
        <x:v>11139.72222222222</x:v>
      </x:c>
      <x:c r="M17" s="32" t="n">
        <x:f>IF(SUM($P$7:$P$14)=0,0,SUMPRODUCT(M7:M14,$P$7:$P$14)/SUM($P$7:$P$14))</x:f>
        <x:v>85048.41666666664</x:v>
      </x:c>
      <x:c r="N17" s="33" t="n">
        <x:f>IF(SUM($P$7:$P$14)=0,0,SUMPRODUCT(N7:N14,$P$7:$P$14)/SUM($P$7:$P$14))</x:f>
        <x:v>0.5673665479533848</x:v>
      </x:c>
      <x:c r="O17" s="32" t="n">
        <x:f>COUNTIFS(O7:O14,"Sí")</x:f>
        <x:v>7</x:v>
      </x:c>
      <x:c r="P17" s="32" t="n">
        <x:f>SUM(P7:P14)</x:f>
        <x:v>432</x:v>
      </x:c>
      <x:c r="Q17" s="32" t="n">
        <x:f>IF(SUM($P$7:$P$14)=0,0,SUMPRODUCT(Q7:Q14,$P$7:$P$14)/SUM($P$7:$P$14))</x:f>
        <x:v>104012.34567901233</x:v>
      </x:c>
      <x:c r="R17" s="32" t="n">
        <x:f>IF(SUM($P$7:$P$14)=0,0,SUMPRODUCT(R7:R14,$P$7:$P$14)/SUM($P$7:$P$14))</x:f>
        <x:v>44934.28086419752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</x:sheetData>
  <x:pageMargins left="0.7" right="0.7" top="0.75" bottom="0.75" header="0.3" footer="0.3"/>
</x:worksheet>
</file>